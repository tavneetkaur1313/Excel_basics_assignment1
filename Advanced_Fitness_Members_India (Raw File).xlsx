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0" yWindow="570" windowWidth="14055" windowHeight="6090"/>
  </bookViews>
  <sheets>
    <sheet name="Sheet1" sheetId="1" r:id="rId1"/>
    <sheet name="Sheet2" sheetId="2" r:id="rId2"/>
    <sheet name="Sheet3" sheetId="3" r:id="rId3"/>
    <sheet name="Sheet4" sheetId="5" r:id="rId4"/>
    <sheet name="Sheet5" sheetId="7" r:id="rId5"/>
    <sheet name="Sheet6" sheetId="8" r:id="rId6"/>
    <sheet name="Sheet7" sheetId="11" r:id="rId7"/>
    <sheet name="Sheet8" sheetId="12" r:id="rId8"/>
  </sheets>
  <definedNames>
    <definedName name="Slicer_City">#N/A</definedName>
    <definedName name="Slicer_Membership_Type">#N/A</definedName>
    <definedName name="Slicer_Referred">#N/A</definedName>
  </definedNames>
  <calcPr calcId="144525"/>
  <pivotCaches>
    <pivotCache cacheId="3" r:id="rId9"/>
    <pivotCache cacheId="16" r:id="rId10"/>
    <pivotCache cacheId="2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2">
      <go:sheetsCustomData xmlns:go="http://customooxmlschemas.google.com/" r:id="" roundtripDataChecksum="GJwS0+B45xNQM+LKEkjyJlcr0UGtKlsJIMlgA/KehTo="/>
    </ext>
  </extLst>
</workbook>
</file>

<file path=xl/calcChain.xml><?xml version="1.0" encoding="utf-8"?>
<calcChain xmlns="http://schemas.openxmlformats.org/spreadsheetml/2006/main">
  <c r="O24" i="1" l="1"/>
  <c r="O25" i="1"/>
  <c r="O26" i="1"/>
  <c r="O27" i="1"/>
  <c r="O28" i="1"/>
  <c r="O29" i="1"/>
  <c r="O30" i="1"/>
  <c r="O31" i="1"/>
  <c r="O32" i="1"/>
  <c r="O33" i="1"/>
  <c r="O34" i="1"/>
  <c r="O35" i="1"/>
  <c r="O36" i="1"/>
  <c r="O3" i="1"/>
  <c r="O4" i="1"/>
  <c r="O5" i="1"/>
  <c r="O6" i="1"/>
  <c r="O7" i="1"/>
  <c r="O8" i="1"/>
  <c r="O9" i="1"/>
  <c r="O10" i="1"/>
  <c r="O11" i="1"/>
  <c r="O12" i="1"/>
  <c r="O13" i="1"/>
  <c r="O14" i="1"/>
  <c r="O15" i="1"/>
  <c r="O16" i="1"/>
  <c r="O17" i="1"/>
  <c r="O18" i="1"/>
  <c r="O19" i="1"/>
  <c r="O20" i="1"/>
  <c r="O21" i="1"/>
  <c r="O22" i="1"/>
  <c r="O23" i="1"/>
  <c r="O2" i="1"/>
  <c r="L2" i="1"/>
  <c r="N2" i="1" s="1"/>
  <c r="M2" i="1"/>
  <c r="L3" i="1"/>
  <c r="N3" i="1" s="1"/>
  <c r="M3" i="1"/>
  <c r="L4" i="1"/>
  <c r="N4" i="1" s="1"/>
  <c r="M4" i="1"/>
  <c r="L5" i="1"/>
  <c r="N5" i="1" s="1"/>
  <c r="M5" i="1"/>
  <c r="L6" i="1"/>
  <c r="M6" i="1"/>
  <c r="N6" i="1"/>
  <c r="L7" i="1"/>
  <c r="M7" i="1"/>
  <c r="N7" i="1"/>
  <c r="L8" i="1"/>
  <c r="N8" i="1" s="1"/>
  <c r="M8" i="1"/>
  <c r="L9" i="1"/>
  <c r="N9" i="1" s="1"/>
  <c r="M9" i="1"/>
  <c r="L10" i="1"/>
  <c r="M10" i="1"/>
  <c r="N10" i="1"/>
  <c r="L11" i="1"/>
  <c r="M11" i="1"/>
  <c r="N11" i="1"/>
  <c r="L12" i="1"/>
  <c r="N12" i="1" s="1"/>
  <c r="M12" i="1"/>
  <c r="L13" i="1"/>
  <c r="N13" i="1" s="1"/>
  <c r="M13" i="1"/>
  <c r="L14" i="1"/>
  <c r="M14" i="1"/>
  <c r="N14" i="1"/>
  <c r="L15" i="1"/>
  <c r="M15" i="1"/>
  <c r="N15" i="1"/>
  <c r="L16" i="1"/>
  <c r="N16" i="1" s="1"/>
  <c r="M16" i="1"/>
  <c r="L17" i="1"/>
  <c r="N17" i="1" s="1"/>
  <c r="M17" i="1"/>
  <c r="L18" i="1"/>
  <c r="M18" i="1"/>
  <c r="N18" i="1"/>
  <c r="L19" i="1"/>
  <c r="M19" i="1"/>
  <c r="N19" i="1"/>
  <c r="L20" i="1"/>
  <c r="N20" i="1" s="1"/>
  <c r="M20" i="1"/>
  <c r="L21" i="1"/>
  <c r="N21" i="1" s="1"/>
  <c r="M21" i="1"/>
  <c r="L22" i="1"/>
  <c r="M22" i="1"/>
  <c r="N22" i="1"/>
  <c r="L23" i="1"/>
  <c r="M23" i="1"/>
  <c r="N23" i="1"/>
  <c r="L24" i="1"/>
  <c r="N24" i="1" s="1"/>
  <c r="M24" i="1"/>
  <c r="L25" i="1"/>
  <c r="N25" i="1" s="1"/>
  <c r="M25" i="1"/>
  <c r="L26" i="1"/>
  <c r="M26" i="1"/>
  <c r="N26" i="1"/>
  <c r="L27" i="1"/>
  <c r="M27" i="1"/>
  <c r="N27" i="1"/>
  <c r="L28" i="1"/>
  <c r="N28" i="1" s="1"/>
  <c r="M28" i="1"/>
  <c r="L29" i="1"/>
  <c r="N29" i="1" s="1"/>
  <c r="M29" i="1"/>
  <c r="L30" i="1"/>
  <c r="M30" i="1"/>
  <c r="N30" i="1"/>
  <c r="L31" i="1"/>
  <c r="M31" i="1"/>
  <c r="N31" i="1"/>
  <c r="L32" i="1"/>
  <c r="N32" i="1" s="1"/>
  <c r="M32" i="1"/>
  <c r="L33" i="1"/>
  <c r="N33" i="1" s="1"/>
  <c r="M33" i="1"/>
  <c r="L34" i="1"/>
  <c r="M34" i="1"/>
  <c r="N34" i="1"/>
  <c r="L35" i="1"/>
  <c r="M35" i="1"/>
  <c r="N35" i="1"/>
  <c r="L36" i="1"/>
  <c r="N36" i="1" s="1"/>
  <c r="M36" i="1"/>
</calcChain>
</file>

<file path=xl/sharedStrings.xml><?xml version="1.0" encoding="utf-8"?>
<sst xmlns="http://schemas.openxmlformats.org/spreadsheetml/2006/main" count="282" uniqueCount="131">
  <si>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</si>
  <si>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</si>
  <si>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</si>
  <si>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</si>
  <si>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</si>
  <si>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</si>
  <si>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</si>
  <si>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</si>
  <si>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</si>
  <si>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</si>
  <si>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</si>
  <si>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</si>
  <si>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</si>
  <si>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</si>
  <si>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</si>
  <si>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</si>
  <si>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</si>
  <si>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</si>
  <si>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</si>
  <si>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</si>
  <si>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</si>
  <si>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</si>
  <si>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</si>
  <si>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</si>
  <si>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</si>
  <si>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</si>
  <si>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</si>
  <si>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</si>
  <si>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</si>
  <si>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</si>
  <si>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</si>
  <si>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</si>
  <si>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</si>
  <si>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</si>
  <si>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</si>
  <si>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</si>
  <si>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</si>
  <si>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</si>
  <si>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</si>
  <si>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</si>
  <si>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</si>
  <si>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</si>
  <si>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</si>
  <si>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</si>
  <si>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</si>
  <si>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</si>
  <si>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</si>
  <si>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</si>
  <si>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</si>
  <si>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</si>
  <si>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</si>
  <si>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</si>
  <si>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</si>
  <si>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</si>
  <si>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</si>
  <si>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</si>
  <si>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</si>
  <si>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</si>
  <si>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</si>
  <si>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</si>
  <si>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</si>
  <si>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</si>
  <si>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</si>
  <si>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</si>
  <si>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</si>
  <si>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</si>
  <si>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</si>
  <si>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</si>
  <si>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</si>
  <si>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</si>
  <si>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</si>
  <si>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</si>
  <si>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</si>
  <si>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</si>
  <si>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</si>
  <si>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</si>
  <si>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</si>
  <si>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</si>
  <si>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</si>
  <si>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</si>
  <si>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</si>
  <si>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</si>
  <si>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</si>
  <si>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</si>
  <si>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</si>
  <si>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</si>
  <si>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</si>
  <si>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</si>
  <si>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</si>
  <si>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</si>
  <si>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</si>
  <si>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</si>
  <si>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</si>
  <si>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</si>
  <si>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</si>
  <si>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</si>
  <si>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</si>
  <si>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</si>
  <si>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</si>
  <si>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</si>
  <si>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</si>
  <si>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</si>
  <si>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</si>
  <si>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</si>
  <si>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</si>
  <si>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</si>
  <si>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</si>
  <si>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t>
  </si>
  <si>
    <t>Referred</t>
  </si>
  <si>
    <t>Total_Revenue</t>
  </si>
  <si>
    <t>Row Labels</t>
  </si>
  <si>
    <t>No</t>
  </si>
  <si>
    <t>Yes</t>
  </si>
  <si>
    <t>Grand Total</t>
  </si>
  <si>
    <t>Sum of Monthly_Fee</t>
  </si>
  <si>
    <t>Referral vs Monthly_Fee</t>
  </si>
  <si>
    <t>Sum of Total_Revenue</t>
  </si>
  <si>
    <t>Revenue By Membership_type</t>
  </si>
  <si>
    <t>Revenue By City</t>
  </si>
  <si>
    <t>(All)</t>
  </si>
  <si>
    <t>Premium vs Family Revenue Comparison</t>
  </si>
  <si>
    <t>Column Labels</t>
  </si>
  <si>
    <t>Segment Profitability Dashboard</t>
  </si>
  <si>
    <t>Age_Group</t>
  </si>
  <si>
    <t>Membership_ID</t>
  </si>
  <si>
    <t>Count of Membership_ID</t>
  </si>
  <si>
    <t>Gender Distribution per City</t>
  </si>
  <si>
    <t>Adult</t>
  </si>
  <si>
    <t>Senior</t>
  </si>
  <si>
    <t>Youth</t>
  </si>
  <si>
    <t>Age Distribution Across Membership Types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</si>
</sst>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yyyy\-mm\-dd"/>
    <numFmt numFmtId="165" formatCode="&quot;$&quot;#,##0.00"/>
    <numFmt numFmtId="168" formatCode="[$₹-4009]\ #,##0.00"/>
  </numFmts>
  <fonts count="8"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family val="2"/>
      <scheme val="minor"/>
    </font>
    <font>
      <b/>
      <sz val="11"/>
      <color theme="1"/>
      <name val="Calibri"/>
      <family val="2"/>
    </font>
    <font>
      <b/>
      <sz val="20"/>
      <color rgb="FF002060"/>
      <name val="Calibri"/>
      <family val="2"/>
      <scheme val="minor"/>
    </font>
    <font>
      <b/>
      <sz val="22"/>
      <color rgb="FF00206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C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1" fillId="0" borderId="1" xfId="0" applyFont="1" applyBorder="1" applyAlignment="1">
      <alignment horizontal="center" vertical="top"/>
    </xf>
    <xf numFmtId="0" fontId="2" fillId="0" borderId="0" xfId="0" applyFont="1"/>
    <xf numFmtId="164" fontId="3" fillId="0" borderId="0" xfId="0" applyNumberFormat="1" applyFont="1"/>
    <xf numFmtId="0" fontId="4" fillId="2" borderId="0" xfId="0" applyFont="1" applyFill="1" applyAlignment="1"/>
    <xf numFmtId="0" fontId="5" fillId="0" borderId="1" xfId="0" applyFont="1" applyBorder="1" applyAlignment="1">
      <alignment horizontal="center" vertical="top"/>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4" fillId="2" borderId="0" xfId="0" applyFont="1" applyFill="1" applyAlignment="1">
      <alignment horizontal="center"/>
    </xf>
    <xf numFmtId="0" fontId="0" fillId="0" borderId="0" xfId="0" applyFont="1" applyAlignment="1">
      <alignment horizontal="center"/>
    </xf>
    <xf numFmtId="165" fontId="0" fillId="0" borderId="0" xfId="0" applyNumberFormat="1" applyFont="1" applyAlignment="1"/>
    <xf numFmtId="168" fontId="0" fillId="0" borderId="0" xfId="0" applyNumberFormat="1" applyFont="1" applyAlignment="1"/>
    <xf numFmtId="0" fontId="0" fillId="2" borderId="0" xfId="0" applyFont="1" applyFill="1" applyAlignment="1"/>
    <xf numFmtId="0" fontId="0" fillId="3" borderId="0" xfId="0" applyFont="1" applyFill="1" applyAlignment="1"/>
    <xf numFmtId="0" fontId="7" fillId="3" borderId="0" xfId="0" applyFont="1" applyFill="1" applyAlignment="1"/>
    <xf numFmtId="0" fontId="6" fillId="2" borderId="0" xfId="0" applyFont="1" applyFill="1" applyAlignment="1"/>
  </cellXfs>
  <cellStyles count="1">
    <cellStyle name="Normal" xfId="0" builtinId="0"/>
  </cellStyles>
  <dxfs count="10">
    <dxf>
      <fill>
        <patternFill>
          <bgColor theme="9" tint="0.39994506668294322"/>
        </patternFill>
      </fill>
    </dxf>
    <dxf>
      <fill>
        <patternFill>
          <bgColor theme="9" tint="0.39994506668294322"/>
        </patternFill>
      </fill>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8" formatCode="[$₹-4009]\ #,##0.00"/>
    </dxf>
    <dxf>
      <numFmt numFmtId="165" formatCode="&quot;$&quot;#,##0.0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(2).xlsx]Sheet6!PivotTable5</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Sheet6!$B$3:$B$4</c:f>
              <c:strCache>
                <c:ptCount val="1"/>
                <c:pt idx="0">
                  <c:v>Basic</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Sheet6!$B$5:$B$11</c:f>
              <c:numCache>
                <c:formatCode>General</c:formatCode>
                <c:ptCount val="6"/>
                <c:pt idx="0">
                  <c:v>4800</c:v>
                </c:pt>
                <c:pt idx="1">
                  <c:v>14400</c:v>
                </c:pt>
                <c:pt idx="2">
                  <c:v>4800</c:v>
                </c:pt>
                <c:pt idx="3">
                  <c:v>0</c:v>
                </c:pt>
                <c:pt idx="4">
                  <c:v>10400</c:v>
                </c:pt>
                <c:pt idx="5">
                  <c:v>1600</c:v>
                </c:pt>
              </c:numCache>
            </c:numRef>
          </c:val>
        </c:ser>
        <c:ser>
          <c:idx val="1"/>
          <c:order val="1"/>
          <c:tx>
            <c:strRef>
              <c:f>Sheet6!$C$3:$C$4</c:f>
              <c:strCache>
                <c:ptCount val="1"/>
                <c:pt idx="0">
                  <c:v>Family</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Sheet6!$C$5:$C$11</c:f>
              <c:numCache>
                <c:formatCode>General</c:formatCode>
                <c:ptCount val="6"/>
                <c:pt idx="0">
                  <c:v>17500</c:v>
                </c:pt>
                <c:pt idx="1">
                  <c:v>35000</c:v>
                </c:pt>
                <c:pt idx="2">
                  <c:v>0</c:v>
                </c:pt>
                <c:pt idx="3">
                  <c:v>7500</c:v>
                </c:pt>
                <c:pt idx="4">
                  <c:v>15000</c:v>
                </c:pt>
              </c:numCache>
            </c:numRef>
          </c:val>
        </c:ser>
        <c:ser>
          <c:idx val="2"/>
          <c:order val="2"/>
          <c:tx>
            <c:strRef>
              <c:f>Sheet6!$D$3:$D$4</c:f>
              <c:strCache>
                <c:ptCount val="1"/>
                <c:pt idx="0">
                  <c:v>Premium</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Sheet6!$D$5:$D$11</c:f>
              <c:numCache>
                <c:formatCode>General</c:formatCode>
                <c:ptCount val="6"/>
                <c:pt idx="0">
                  <c:v>16200</c:v>
                </c:pt>
                <c:pt idx="1">
                  <c:v>0</c:v>
                </c:pt>
                <c:pt idx="3">
                  <c:v>9000</c:v>
                </c:pt>
                <c:pt idx="4">
                  <c:v>34200</c:v>
                </c:pt>
                <c:pt idx="5">
                  <c:v>7200</c:v>
                </c:pt>
              </c:numCache>
            </c:numRef>
          </c:val>
        </c:ser>
        <c:ser>
          <c:idx val="3"/>
          <c:order val="3"/>
          <c:tx>
            <c:strRef>
              <c:f>Sheet6!$E$3:$E$4</c:f>
              <c:strCache>
                <c:ptCount val="1"/>
                <c:pt idx="0">
                  <c:v>Standard</c:v>
                </c:pt>
              </c:strCache>
            </c:strRef>
          </c:tx>
          <c:invertIfNegative val="0"/>
          <c:cat>
            <c:strRef>
              <c:f>Sheet6!$A$5:$A$11</c:f>
              <c:strCache>
                <c:ptCount val="6"/>
                <c:pt idx="0">
                  <c:v>Bengaluru</c:v>
                </c:pt>
                <c:pt idx="1">
                  <c:v>Delhi</c:v>
                </c:pt>
                <c:pt idx="2">
                  <c:v>Hyderabad</c:v>
                </c:pt>
                <c:pt idx="3">
                  <c:v>Kolkata</c:v>
                </c:pt>
                <c:pt idx="4">
                  <c:v>Mumbai</c:v>
                </c:pt>
                <c:pt idx="5">
                  <c:v>Pune</c:v>
                </c:pt>
              </c:strCache>
            </c:strRef>
          </c:cat>
          <c:val>
            <c:numRef>
              <c:f>Sheet6!$E$5:$E$11</c:f>
              <c:numCache>
                <c:formatCode>General</c:formatCode>
                <c:ptCount val="6"/>
                <c:pt idx="0">
                  <c:v>16800</c:v>
                </c:pt>
                <c:pt idx="1">
                  <c:v>0</c:v>
                </c:pt>
                <c:pt idx="2">
                  <c:v>24000</c:v>
                </c:pt>
                <c:pt idx="3">
                  <c:v>15600</c:v>
                </c:pt>
                <c:pt idx="4">
                  <c:v>16800</c:v>
                </c:pt>
                <c:pt idx="5">
                  <c:v>14400</c:v>
                </c:pt>
              </c:numCache>
            </c:numRef>
          </c:val>
        </c:ser>
        <c:dLbls>
          <c:showLegendKey val="0"/>
          <c:showVal val="0"/>
          <c:showCatName val="0"/>
          <c:showSerName val="0"/>
          <c:showPercent val="0"/>
          <c:showBubbleSize val="0"/>
        </c:dLbls>
        <c:gapWidth val="150"/>
        <c:shape val="box"/>
        <c:axId val="179901952"/>
        <c:axId val="179903488"/>
        <c:axId val="0"/>
      </c:bar3DChart>
      <c:catAx>
        <c:axId val="179901952"/>
        <c:scaling>
          <c:orientation val="minMax"/>
        </c:scaling>
        <c:delete val="0"/>
        <c:axPos val="b"/>
        <c:majorTickMark val="out"/>
        <c:minorTickMark val="none"/>
        <c:tickLblPos val="nextTo"/>
        <c:crossAx val="179903488"/>
        <c:crosses val="autoZero"/>
        <c:auto val="1"/>
        <c:lblAlgn val="ctr"/>
        <c:lblOffset val="100"/>
        <c:noMultiLvlLbl val="0"/>
      </c:catAx>
      <c:valAx>
        <c:axId val="179903488"/>
        <c:scaling>
          <c:orientation val="minMax"/>
        </c:scaling>
        <c:delete val="0"/>
        <c:axPos val="l"/>
        <c:majorGridlines/>
        <c:numFmt formatCode="General" sourceLinked="1"/>
        <c:majorTickMark val="out"/>
        <c:minorTickMark val="none"/>
        <c:tickLblPos val="nextTo"/>
        <c:crossAx val="1799019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(2).xlsx]Sheet7!PivotTable8</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Sheet7!$B$3:$B$4</c:f>
              <c:strCache>
                <c:ptCount val="1"/>
                <c:pt idx="0">
                  <c:v>Female</c:v>
                </c:pt>
              </c:strCache>
            </c:strRef>
          </c:tx>
          <c:invertIfNegative val="0"/>
          <c:cat>
            <c:strRef>
              <c:f>Sheet7!$A$5:$A$11</c:f>
              <c:strCache>
                <c:ptCount val="6"/>
                <c:pt idx="0">
                  <c:v>Bengaluru</c:v>
                </c:pt>
                <c:pt idx="1">
                  <c:v>Delhi</c:v>
                </c:pt>
                <c:pt idx="2">
                  <c:v>Hyderabad</c:v>
                </c:pt>
                <c:pt idx="3">
                  <c:v>Kolkata</c:v>
                </c:pt>
                <c:pt idx="4">
                  <c:v>Mumbai</c:v>
                </c:pt>
                <c:pt idx="5">
                  <c:v>Pune</c:v>
                </c:pt>
              </c:strCache>
            </c:strRef>
          </c:cat>
          <c:val>
            <c:numRef>
              <c:f>Sheet7!$B$5:$B$11</c:f>
              <c:numCache>
                <c:formatCode>General</c:formatCode>
                <c:ptCount val="6"/>
                <c:pt idx="0">
                  <c:v>3</c:v>
                </c:pt>
                <c:pt idx="1">
                  <c:v>3</c:v>
                </c:pt>
                <c:pt idx="2">
                  <c:v>3</c:v>
                </c:pt>
                <c:pt idx="3">
                  <c:v>2</c:v>
                </c:pt>
                <c:pt idx="4">
                  <c:v>2</c:v>
                </c:pt>
                <c:pt idx="5">
                  <c:v>2</c:v>
                </c:pt>
              </c:numCache>
            </c:numRef>
          </c:val>
        </c:ser>
        <c:ser>
          <c:idx val="1"/>
          <c:order val="1"/>
          <c:tx>
            <c:strRef>
              <c:f>Sheet7!$C$3:$C$4</c:f>
              <c:strCache>
                <c:ptCount val="1"/>
                <c:pt idx="0">
                  <c:v>Male</c:v>
                </c:pt>
              </c:strCache>
            </c:strRef>
          </c:tx>
          <c:invertIfNegative val="0"/>
          <c:cat>
            <c:strRef>
              <c:f>Sheet7!$A$5:$A$11</c:f>
              <c:strCache>
                <c:ptCount val="6"/>
                <c:pt idx="0">
                  <c:v>Bengaluru</c:v>
                </c:pt>
                <c:pt idx="1">
                  <c:v>Delhi</c:v>
                </c:pt>
                <c:pt idx="2">
                  <c:v>Hyderabad</c:v>
                </c:pt>
                <c:pt idx="3">
                  <c:v>Kolkata</c:v>
                </c:pt>
                <c:pt idx="4">
                  <c:v>Mumbai</c:v>
                </c:pt>
                <c:pt idx="5">
                  <c:v>Pune</c:v>
                </c:pt>
              </c:strCache>
            </c:strRef>
          </c:cat>
          <c:val>
            <c:numRef>
              <c:f>Sheet7!$C$5:$C$11</c:f>
              <c:numCache>
                <c:formatCode>General</c:formatCode>
                <c:ptCount val="6"/>
                <c:pt idx="0">
                  <c:v>2</c:v>
                </c:pt>
                <c:pt idx="1">
                  <c:v>1</c:v>
                </c:pt>
                <c:pt idx="2">
                  <c:v>2</c:v>
                </c:pt>
                <c:pt idx="3">
                  <c:v>4</c:v>
                </c:pt>
                <c:pt idx="4">
                  <c:v>8</c:v>
                </c:pt>
                <c:pt idx="5">
                  <c:v>3</c:v>
                </c:pt>
              </c:numCache>
            </c:numRef>
          </c:val>
        </c:ser>
        <c:dLbls>
          <c:showLegendKey val="0"/>
          <c:showVal val="0"/>
          <c:showCatName val="0"/>
          <c:showSerName val="0"/>
          <c:showPercent val="0"/>
          <c:showBubbleSize val="0"/>
        </c:dLbls>
        <c:gapWidth val="150"/>
        <c:axId val="272026624"/>
        <c:axId val="272036608"/>
      </c:barChart>
      <c:catAx>
        <c:axId val="272026624"/>
        <c:scaling>
          <c:orientation val="minMax"/>
        </c:scaling>
        <c:delete val="0"/>
        <c:axPos val="b"/>
        <c:majorTickMark val="out"/>
        <c:minorTickMark val="none"/>
        <c:tickLblPos val="nextTo"/>
        <c:crossAx val="272036608"/>
        <c:crosses val="autoZero"/>
        <c:auto val="1"/>
        <c:lblAlgn val="ctr"/>
        <c:lblOffset val="100"/>
        <c:noMultiLvlLbl val="0"/>
      </c:catAx>
      <c:valAx>
        <c:axId val="272036608"/>
        <c:scaling>
          <c:orientation val="minMax"/>
        </c:scaling>
        <c:delete val="0"/>
        <c:axPos val="l"/>
        <c:majorGridlines/>
        <c:numFmt formatCode="General" sourceLinked="1"/>
        <c:majorTickMark val="out"/>
        <c:minorTickMark val="none"/>
        <c:tickLblPos val="nextTo"/>
        <c:crossAx val="2720266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(2).xlsx]Sheet8!PivotTable9</c:name>
    <c:fmtId val="0"/>
  </c:pivotSource>
  <c:chart>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percentStacked"/>
        <c:varyColors val="0"/>
        <c:ser>
          <c:idx val="0"/>
          <c:order val="0"/>
          <c:tx>
            <c:strRef>
              <c:f>Sheet8!$B$3:$B$4</c:f>
              <c:strCache>
                <c:ptCount val="1"/>
                <c:pt idx="0">
                  <c:v>Adult</c:v>
                </c:pt>
              </c:strCache>
            </c:strRef>
          </c:tx>
          <c:invertIfNegative val="0"/>
          <c:cat>
            <c:strRef>
              <c:f>Sheet8!$A$5:$A$9</c:f>
              <c:strCache>
                <c:ptCount val="4"/>
                <c:pt idx="0">
                  <c:v>Basic</c:v>
                </c:pt>
                <c:pt idx="1">
                  <c:v>Family</c:v>
                </c:pt>
                <c:pt idx="2">
                  <c:v>Premium</c:v>
                </c:pt>
                <c:pt idx="3">
                  <c:v>Standard</c:v>
                </c:pt>
              </c:strCache>
            </c:strRef>
          </c:cat>
          <c:val>
            <c:numRef>
              <c:f>Sheet8!$B$5:$B$9</c:f>
              <c:numCache>
                <c:formatCode>General</c:formatCode>
                <c:ptCount val="4"/>
                <c:pt idx="0">
                  <c:v>4</c:v>
                </c:pt>
                <c:pt idx="1">
                  <c:v>2</c:v>
                </c:pt>
                <c:pt idx="2">
                  <c:v>1</c:v>
                </c:pt>
                <c:pt idx="3">
                  <c:v>6</c:v>
                </c:pt>
              </c:numCache>
            </c:numRef>
          </c:val>
        </c:ser>
        <c:ser>
          <c:idx val="1"/>
          <c:order val="1"/>
          <c:tx>
            <c:strRef>
              <c:f>Sheet8!$C$3:$C$4</c:f>
              <c:strCache>
                <c:ptCount val="1"/>
                <c:pt idx="0">
                  <c:v>Senior</c:v>
                </c:pt>
              </c:strCache>
            </c:strRef>
          </c:tx>
          <c:invertIfNegative val="0"/>
          <c:cat>
            <c:strRef>
              <c:f>Sheet8!$A$5:$A$9</c:f>
              <c:strCache>
                <c:ptCount val="4"/>
                <c:pt idx="0">
                  <c:v>Basic</c:v>
                </c:pt>
                <c:pt idx="1">
                  <c:v>Family</c:v>
                </c:pt>
                <c:pt idx="2">
                  <c:v>Premium</c:v>
                </c:pt>
                <c:pt idx="3">
                  <c:v>Standard</c:v>
                </c:pt>
              </c:strCache>
            </c:strRef>
          </c:cat>
          <c:val>
            <c:numRef>
              <c:f>Sheet8!$C$5:$C$9</c:f>
              <c:numCache>
                <c:formatCode>General</c:formatCode>
                <c:ptCount val="4"/>
                <c:pt idx="0">
                  <c:v>2</c:v>
                </c:pt>
                <c:pt idx="1">
                  <c:v>1</c:v>
                </c:pt>
                <c:pt idx="2">
                  <c:v>4</c:v>
                </c:pt>
                <c:pt idx="3">
                  <c:v>2</c:v>
                </c:pt>
              </c:numCache>
            </c:numRef>
          </c:val>
        </c:ser>
        <c:ser>
          <c:idx val="2"/>
          <c:order val="2"/>
          <c:tx>
            <c:strRef>
              <c:f>Sheet8!$D$3:$D$4</c:f>
              <c:strCache>
                <c:ptCount val="1"/>
                <c:pt idx="0">
                  <c:v>Youth</c:v>
                </c:pt>
              </c:strCache>
            </c:strRef>
          </c:tx>
          <c:invertIfNegative val="0"/>
          <c:cat>
            <c:strRef>
              <c:f>Sheet8!$A$5:$A$9</c:f>
              <c:strCache>
                <c:ptCount val="4"/>
                <c:pt idx="0">
                  <c:v>Basic</c:v>
                </c:pt>
                <c:pt idx="1">
                  <c:v>Family</c:v>
                </c:pt>
                <c:pt idx="2">
                  <c:v>Premium</c:v>
                </c:pt>
                <c:pt idx="3">
                  <c:v>Standard</c:v>
                </c:pt>
              </c:strCache>
            </c:strRef>
          </c:cat>
          <c:val>
            <c:numRef>
              <c:f>Sheet8!$D$5:$D$9</c:f>
              <c:numCache>
                <c:formatCode>General</c:formatCode>
                <c:ptCount val="4"/>
                <c:pt idx="0">
                  <c:v>3</c:v>
                </c:pt>
                <c:pt idx="1">
                  <c:v>4</c:v>
                </c:pt>
                <c:pt idx="2">
                  <c:v>2</c:v>
                </c:pt>
                <c:pt idx="3">
                  <c:v>4</c:v>
                </c:pt>
              </c:numCache>
            </c:numRef>
          </c:val>
        </c:ser>
        <c:dLbls>
          <c:showLegendKey val="0"/>
          <c:showVal val="0"/>
          <c:showCatName val="0"/>
          <c:showSerName val="0"/>
          <c:showPercent val="0"/>
          <c:showBubbleSize val="0"/>
        </c:dLbls>
        <c:gapWidth val="150"/>
        <c:overlap val="100"/>
        <c:axId val="179952256"/>
        <c:axId val="203062656"/>
      </c:barChart>
      <c:catAx>
        <c:axId val="179952256"/>
        <c:scaling>
          <c:orientation val="minMax"/>
        </c:scaling>
        <c:delete val="0"/>
        <c:axPos val="b"/>
        <c:majorTickMark val="out"/>
        <c:minorTickMark val="none"/>
        <c:tickLblPos val="nextTo"/>
        <c:crossAx val="203062656"/>
        <c:crosses val="autoZero"/>
        <c:auto val="1"/>
        <c:lblAlgn val="ctr"/>
        <c:lblOffset val="100"/>
        <c:noMultiLvlLbl val="0"/>
      </c:catAx>
      <c:valAx>
        <c:axId val="203062656"/>
        <c:scaling>
          <c:orientation val="minMax"/>
        </c:scaling>
        <c:delete val="0"/>
        <c:axPos val="l"/>
        <c:majorGridlines/>
        <c:numFmt formatCode="0%" sourceLinked="1"/>
        <c:majorTickMark val="out"/>
        <c:minorTickMark val="none"/>
        <c:tickLblPos val="nextTo"/>
        <c:crossAx val="1799522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180975</xdr:colOff>
      <xdr:row>9</xdr:row>
      <xdr:rowOff>28575</xdr:rowOff>
    </xdr:from>
    <xdr:to>
      <xdr:col>14</xdr:col>
      <xdr:colOff>485775</xdr:colOff>
      <xdr:row>23</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16</xdr:row>
      <xdr:rowOff>38100</xdr:rowOff>
    </xdr:from>
    <xdr:to>
      <xdr:col>18</xdr:col>
      <xdr:colOff>152400</xdr:colOff>
      <xdr:row>23</xdr:row>
      <xdr:rowOff>161925</xdr:rowOff>
    </xdr:to>
    <mc:AlternateContent xmlns:mc="http://schemas.openxmlformats.org/markup-compatibility/2006">
      <mc:Choice xmlns:a14="http://schemas.microsoft.com/office/drawing/2010/main" Requires="a14">
        <xdr:graphicFrame macro="">
          <xdr:nvGraphicFramePr>
            <xdr:cNvPr id="3" name="Membership_Type"/>
            <xdr:cNvGraphicFramePr/>
          </xdr:nvGraphicFramePr>
          <xdr:xfrm>
            <a:off x="0" y="0"/>
            <a:ext cx="0" cy="0"/>
          </xdr:xfrm>
          <a:graphic>
            <a:graphicData uri="http://schemas.microsoft.com/office/drawing/2010/slicer">
              <sle:slicer xmlns:sle="http://schemas.microsoft.com/office/drawing/2010/slicer" name="Membership_Type"/>
            </a:graphicData>
          </a:graphic>
        </xdr:graphicFrame>
      </mc:Choice>
      <mc:Fallback>
        <xdr:sp macro="" textlink="">
          <xdr:nvSpPr>
            <xdr:cNvPr id="0" name=""/>
            <xdr:cNvSpPr>
              <a:spLocks noTextEdit="1"/>
            </xdr:cNvSpPr>
          </xdr:nvSpPr>
          <xdr:spPr>
            <a:xfrm>
              <a:off x="11153775" y="3257550"/>
              <a:ext cx="13716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5</xdr:row>
      <xdr:rowOff>133350</xdr:rowOff>
    </xdr:from>
    <xdr:to>
      <xdr:col>18</xdr:col>
      <xdr:colOff>152400</xdr:colOff>
      <xdr:row>14</xdr:row>
      <xdr:rowOff>333375</xdr:rowOff>
    </xdr:to>
    <mc:AlternateContent xmlns:mc="http://schemas.openxmlformats.org/markup-compatibility/2006">
      <mc:Choice xmlns:a14="http://schemas.microsoft.com/office/drawing/2010/main" Requires="a14">
        <xdr:graphicFrame macro="">
          <xdr:nvGraphicFramePr>
            <xdr:cNvPr id="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115675" y="1085850"/>
              <a:ext cx="14097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0</xdr:row>
      <xdr:rowOff>66674</xdr:rowOff>
    </xdr:from>
    <xdr:to>
      <xdr:col>18</xdr:col>
      <xdr:colOff>0</xdr:colOff>
      <xdr:row>5</xdr:row>
      <xdr:rowOff>57149</xdr:rowOff>
    </xdr:to>
    <mc:AlternateContent xmlns:mc="http://schemas.openxmlformats.org/markup-compatibility/2006">
      <mc:Choice xmlns:a14="http://schemas.microsoft.com/office/drawing/2010/main" Requires="a14">
        <xdr:graphicFrame macro="">
          <xdr:nvGraphicFramePr>
            <xdr:cNvPr id="5" name="Referred"/>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11229975" y="66674"/>
              <a:ext cx="11430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9</xdr:row>
      <xdr:rowOff>123825</xdr:rowOff>
    </xdr:from>
    <xdr:to>
      <xdr:col>11</xdr:col>
      <xdr:colOff>457200</xdr:colOff>
      <xdr:row>24</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466725</xdr:colOff>
      <xdr:row>10</xdr:row>
      <xdr:rowOff>19050</xdr:rowOff>
    </xdr:from>
    <xdr:to>
      <xdr:col>12</xdr:col>
      <xdr:colOff>19050</xdr:colOff>
      <xdr:row>24</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new" refreshedDate="45968.93603946759" createdVersion="4" refreshedVersion="4" minRefreshableVersion="3" recordCount="35">
  <cacheSource type="worksheet">
    <worksheetSource ref="H1:N36" sheet="Sheet1"/>
  </cacheSource>
  <cacheFields count="7">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new" refreshedDate="45968.945450925923" createdVersion="4" refreshedVersion="4" minRefreshableVersion="3" recordCount="35">
  <cacheSource type="worksheet">
    <worksheetSource ref="B1:N36" sheet="Sheet1"/>
  </cacheSource>
  <cacheFields count="13">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new" refreshedDate="45969.583261921296" createdVersion="4" refreshedVersion="4" minRefreshableVersion="3" recordCount="35">
  <cacheSource type="worksheet">
    <worksheetSource ref="A1:O36" sheet="Sheet1"/>
  </cacheSource>
  <cacheFields count="15">
    <cacheField name="Membership_ID" numFmtId="0">
      <sharedItems/>
    </cacheField>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64">
      <sharedItems containsSemiMixedTypes="0" containsNonDate="0" containsDate="1" containsString="0" minDate="2023-05-19T00:00:00" maxDate="2025-02-27T00:00:00"/>
    </cacheField>
    <cacheField name="End_Date" numFmtId="16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acheField>
    <cacheField name="Membership_Duration_month" numFmtId="0">
      <sharedItems containsSemiMixedTypes="0" containsString="0" containsNumber="1" containsInteger="1" minValue="0" maxValue="18"/>
    </cacheField>
    <cacheField name="Referred" numFmtId="0">
      <sharedItems count="2">
        <s v="Yes"/>
        <s v="No"/>
      </sharedItems>
    </cacheField>
    <cacheField name="Total_Revenue" numFmtId="0">
      <sharedItems containsSemiMixedTypes="0" containsString="0" containsNumber="1" containsInteger="1" minValue="0" maxValue="35000"/>
    </cacheField>
    <cacheField name="Age_Group" numFmtId="0">
      <sharedItems count="3">
        <s v="Senior"/>
        <s v="Youth"/>
        <s v="Adult"/>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5">
  <r>
    <n v="800"/>
    <n v="25"/>
    <s v="Bengaluru"/>
    <s v="Hiran Shan"/>
    <n v="6"/>
    <x v="0"/>
    <n v="4800"/>
  </r>
  <r>
    <n v="800"/>
    <n v="20"/>
    <s v="Pune"/>
    <s v="Kiara Kakar"/>
    <n v="0"/>
    <x v="0"/>
    <n v="0"/>
  </r>
  <r>
    <n v="1200"/>
    <n v="18"/>
    <s v="Hyderabad"/>
    <s v="Jhanvi Chaudhary"/>
    <n v="6"/>
    <x v="0"/>
    <n v="7200"/>
  </r>
  <r>
    <n v="1200"/>
    <n v="16"/>
    <s v="Hyderabad"/>
    <s v="Tara Swaminathan"/>
    <n v="3"/>
    <x v="0"/>
    <n v="3600"/>
  </r>
  <r>
    <n v="2500"/>
    <n v="12"/>
    <s v="Bengaluru"/>
    <s v="Madhav Singh"/>
    <n v="7"/>
    <x v="0"/>
    <n v="17500"/>
  </r>
  <r>
    <n v="800"/>
    <n v="14"/>
    <s v="Mumbai"/>
    <s v="Shray Ramakrishnan"/>
    <n v="2"/>
    <x v="0"/>
    <n v="1600"/>
  </r>
  <r>
    <n v="800"/>
    <n v="25"/>
    <s v="Pune"/>
    <m/>
    <n v="2"/>
    <x v="1"/>
    <n v="1600"/>
  </r>
  <r>
    <n v="1800"/>
    <n v="28"/>
    <s v="Kolkata"/>
    <m/>
    <n v="3"/>
    <x v="1"/>
    <n v="5400"/>
  </r>
  <r>
    <n v="800"/>
    <n v="3"/>
    <s v="Kolkata"/>
    <s v="Nitara Comar"/>
    <n v="0"/>
    <x v="0"/>
    <n v="0"/>
  </r>
  <r>
    <n v="1200"/>
    <n v="29"/>
    <s v="Mumbai"/>
    <s v="Ranbir Karan"/>
    <n v="2"/>
    <x v="0"/>
    <n v="2400"/>
  </r>
  <r>
    <n v="1200"/>
    <n v="13"/>
    <s v="Bengaluru"/>
    <s v="Rati Sanghvi"/>
    <n v="5"/>
    <x v="0"/>
    <n v="6000"/>
  </r>
  <r>
    <n v="1200"/>
    <n v="19"/>
    <s v="Kolkata"/>
    <s v="Ishaan Kashyap"/>
    <n v="13"/>
    <x v="0"/>
    <n v="15600"/>
  </r>
  <r>
    <n v="1800"/>
    <n v="22"/>
    <s v="Kolkata"/>
    <m/>
    <n v="2"/>
    <x v="1"/>
    <n v="3600"/>
  </r>
  <r>
    <n v="1200"/>
    <n v="28"/>
    <s v="Mumbai"/>
    <m/>
    <n v="5"/>
    <x v="1"/>
    <n v="6000"/>
  </r>
  <r>
    <n v="800"/>
    <n v="8"/>
    <s v="Hyderabad"/>
    <m/>
    <n v="6"/>
    <x v="1"/>
    <n v="4800"/>
  </r>
  <r>
    <n v="2500"/>
    <n v="14"/>
    <s v="Kolkata"/>
    <m/>
    <n v="1"/>
    <x v="1"/>
    <n v="2500"/>
  </r>
  <r>
    <n v="1200"/>
    <n v="25"/>
    <s v="Hyderabad"/>
    <m/>
    <n v="11"/>
    <x v="1"/>
    <n v="13200"/>
  </r>
  <r>
    <n v="2500"/>
    <n v="13"/>
    <s v="Delhi"/>
    <m/>
    <n v="14"/>
    <x v="1"/>
    <n v="35000"/>
  </r>
  <r>
    <n v="800"/>
    <n v="26"/>
    <s v="Mumbai"/>
    <m/>
    <n v="10"/>
    <x v="1"/>
    <n v="8000"/>
  </r>
  <r>
    <n v="2500"/>
    <n v="21"/>
    <s v="Mumbai"/>
    <s v="Tanya Bajwa"/>
    <n v="6"/>
    <x v="0"/>
    <n v="15000"/>
  </r>
  <r>
    <n v="1800"/>
    <n v="19"/>
    <s v="Mumbai"/>
    <m/>
    <n v="17"/>
    <x v="1"/>
    <n v="30600"/>
  </r>
  <r>
    <n v="1800"/>
    <n v="5"/>
    <s v="Bengaluru"/>
    <m/>
    <n v="9"/>
    <x v="1"/>
    <n v="16200"/>
  </r>
  <r>
    <n v="1800"/>
    <n v="18"/>
    <s v="Delhi"/>
    <m/>
    <n v="0"/>
    <x v="1"/>
    <n v="0"/>
  </r>
  <r>
    <n v="1200"/>
    <n v="6"/>
    <s v="Bengaluru"/>
    <m/>
    <n v="9"/>
    <x v="1"/>
    <n v="10800"/>
  </r>
  <r>
    <n v="1800"/>
    <n v="17"/>
    <s v="Mumbai"/>
    <s v="Adira Brar"/>
    <n v="2"/>
    <x v="0"/>
    <n v="3600"/>
  </r>
  <r>
    <n v="1200"/>
    <n v="3"/>
    <s v="Delhi"/>
    <m/>
    <n v="0"/>
    <x v="1"/>
    <n v="0"/>
  </r>
  <r>
    <n v="2500"/>
    <n v="28"/>
    <s v="Mumbai"/>
    <m/>
    <n v="0"/>
    <x v="1"/>
    <n v="0"/>
  </r>
  <r>
    <n v="1200"/>
    <n v="23"/>
    <s v="Pune"/>
    <m/>
    <n v="1"/>
    <x v="1"/>
    <n v="1200"/>
  </r>
  <r>
    <n v="2500"/>
    <n v="8"/>
    <s v="Hyderabad"/>
    <m/>
    <n v="0"/>
    <x v="1"/>
    <n v="0"/>
  </r>
  <r>
    <n v="2500"/>
    <n v="23"/>
    <s v="Kolkata"/>
    <s v="Nakul Balakrishnan"/>
    <n v="2"/>
    <x v="0"/>
    <n v="5000"/>
  </r>
  <r>
    <n v="800"/>
    <n v="9"/>
    <s v="Delhi"/>
    <s v="Darshit Sidhu"/>
    <n v="18"/>
    <x v="0"/>
    <n v="14400"/>
  </r>
  <r>
    <n v="1200"/>
    <n v="2"/>
    <s v="Mumbai"/>
    <m/>
    <n v="7"/>
    <x v="1"/>
    <n v="8400"/>
  </r>
  <r>
    <n v="800"/>
    <n v="30"/>
    <s v="Mumbai"/>
    <m/>
    <n v="1"/>
    <x v="1"/>
    <n v="800"/>
  </r>
  <r>
    <n v="1800"/>
    <n v="23"/>
    <s v="Pune"/>
    <s v="Riya Dugal"/>
    <n v="4"/>
    <x v="0"/>
    <n v="7200"/>
  </r>
  <r>
    <n v="1200"/>
    <n v="27"/>
    <s v="Pune"/>
    <m/>
    <n v="11"/>
    <x v="1"/>
    <n v="13200"/>
  </r>
</pivotCacheRecords>
</file>

<file path=xl/pivotCache/pivotCacheRecords2.xml><?xml version="1.0" encoding="utf-8"?>
<pivotCacheRecords xmlns="http://schemas.openxmlformats.org/spreadsheetml/2006/main" xmlns:r="http://schemas.openxmlformats.org/officeDocument/2006/relationships" count="35">
  <r>
    <s v="Anay Shanker"/>
    <n v="59"/>
    <x v="0"/>
    <x v="0"/>
    <d v="2023-11-05T00:00:00"/>
    <d v="2024-05-13T00:00:00"/>
    <n v="800"/>
    <n v="25"/>
    <x v="0"/>
    <s v="Hiran Shan"/>
    <n v="6"/>
    <x v="0"/>
    <n v="4800"/>
  </r>
  <r>
    <s v="Parinaaz Shanker"/>
    <n v="27"/>
    <x v="0"/>
    <x v="0"/>
    <d v="2025-02-26T00:00:00"/>
    <d v="2025-03-24T00:00:00"/>
    <n v="800"/>
    <n v="20"/>
    <x v="1"/>
    <s v="Kiara Kakar"/>
    <n v="0"/>
    <x v="0"/>
    <n v="0"/>
  </r>
  <r>
    <s v="Aniruddh Batra"/>
    <n v="24"/>
    <x v="0"/>
    <x v="1"/>
    <d v="2023-09-22T00:00:00"/>
    <d v="2024-03-20T00:00:00"/>
    <n v="1200"/>
    <n v="18"/>
    <x v="2"/>
    <s v="Jhanvi Chaudhary"/>
    <n v="6"/>
    <x v="0"/>
    <n v="7200"/>
  </r>
  <r>
    <s v="Madhup Kapur"/>
    <n v="31"/>
    <x v="1"/>
    <x v="1"/>
    <d v="2024-07-06T00:00:00"/>
    <d v="2024-10-22T00:00:00"/>
    <n v="1200"/>
    <n v="16"/>
    <x v="2"/>
    <s v="Tara Swaminathan"/>
    <n v="3"/>
    <x v="0"/>
    <n v="3600"/>
  </r>
  <r>
    <s v="Rasha Kakar"/>
    <n v="19"/>
    <x v="0"/>
    <x v="2"/>
    <d v="2023-12-26T00:00:00"/>
    <d v="2024-07-28T00:00:00"/>
    <n v="2500"/>
    <n v="12"/>
    <x v="0"/>
    <s v="Madhav Singh"/>
    <n v="7"/>
    <x v="0"/>
    <n v="17500"/>
  </r>
  <r>
    <s v="Ehsaan Batra"/>
    <n v="40"/>
    <x v="0"/>
    <x v="0"/>
    <d v="2024-01-26T00:00:00"/>
    <d v="2024-04-10T00:00:00"/>
    <n v="800"/>
    <n v="14"/>
    <x v="3"/>
    <s v="Shray Ramakrishnan"/>
    <n v="2"/>
    <x v="0"/>
    <n v="1600"/>
  </r>
  <r>
    <s v="Zara Bains"/>
    <n v="41"/>
    <x v="1"/>
    <x v="0"/>
    <d v="2024-10-23T00:00:00"/>
    <d v="2025-01-20T00:00:00"/>
    <n v="800"/>
    <n v="25"/>
    <x v="1"/>
    <m/>
    <n v="2"/>
    <x v="1"/>
    <n v="1600"/>
  </r>
  <r>
    <s v="Uthkarsh Baral"/>
    <n v="43"/>
    <x v="0"/>
    <x v="3"/>
    <d v="2024-06-07T00:00:00"/>
    <d v="2024-09-28T00:00:00"/>
    <n v="1800"/>
    <n v="28"/>
    <x v="4"/>
    <m/>
    <n v="3"/>
    <x v="1"/>
    <n v="5400"/>
  </r>
  <r>
    <s v="Kashvi Char"/>
    <n v="42"/>
    <x v="0"/>
    <x v="0"/>
    <d v="2024-10-04T00:00:00"/>
    <d v="2024-10-17T00:00:00"/>
    <n v="800"/>
    <n v="3"/>
    <x v="4"/>
    <s v="Nitara Comar"/>
    <n v="0"/>
    <x v="0"/>
    <n v="0"/>
  </r>
  <r>
    <s v="Dhanush Varma"/>
    <n v="37"/>
    <x v="0"/>
    <x v="1"/>
    <d v="2023-10-03T00:00:00"/>
    <d v="2023-12-20T00:00:00"/>
    <n v="1200"/>
    <n v="29"/>
    <x v="3"/>
    <s v="Ranbir Karan"/>
    <n v="2"/>
    <x v="0"/>
    <n v="2400"/>
  </r>
  <r>
    <s v="Ishaan Goyal"/>
    <n v="48"/>
    <x v="1"/>
    <x v="1"/>
    <d v="2024-01-06T00:00:00"/>
    <d v="2024-06-16T00:00:00"/>
    <n v="1200"/>
    <n v="13"/>
    <x v="0"/>
    <s v="Rati Sanghvi"/>
    <n v="5"/>
    <x v="0"/>
    <n v="6000"/>
  </r>
  <r>
    <s v="Mahika Ravi"/>
    <n v="36"/>
    <x v="0"/>
    <x v="1"/>
    <d v="2023-08-16T00:00:00"/>
    <d v="2024-10-03T00:00:00"/>
    <n v="1200"/>
    <n v="19"/>
    <x v="4"/>
    <s v="Ishaan Kashyap"/>
    <n v="13"/>
    <x v="0"/>
    <n v="15600"/>
  </r>
  <r>
    <s v="Purab Reddy"/>
    <n v="48"/>
    <x v="1"/>
    <x v="3"/>
    <d v="2024-09-21T00:00:00"/>
    <d v="2024-12-15T00:00:00"/>
    <n v="1800"/>
    <n v="22"/>
    <x v="4"/>
    <m/>
    <n v="2"/>
    <x v="1"/>
    <n v="3600"/>
  </r>
  <r>
    <s v="Tiya Soni"/>
    <n v="39"/>
    <x v="0"/>
    <x v="1"/>
    <d v="2023-05-19T00:00:00"/>
    <d v="2023-11-12T00:00:00"/>
    <n v="1200"/>
    <n v="28"/>
    <x v="3"/>
    <m/>
    <n v="5"/>
    <x v="1"/>
    <n v="6000"/>
  </r>
  <r>
    <s v="Zara Dugar"/>
    <n v="44"/>
    <x v="1"/>
    <x v="0"/>
    <d v="2024-02-11T00:00:00"/>
    <d v="2024-09-05T00:00:00"/>
    <n v="800"/>
    <n v="8"/>
    <x v="2"/>
    <m/>
    <n v="6"/>
    <x v="1"/>
    <n v="4800"/>
  </r>
  <r>
    <s v="Lakshit Mander"/>
    <n v="39"/>
    <x v="0"/>
    <x v="2"/>
    <d v="2025-02-14T00:00:00"/>
    <d v="2025-03-16T00:00:00"/>
    <n v="2500"/>
    <n v="14"/>
    <x v="4"/>
    <m/>
    <n v="1"/>
    <x v="1"/>
    <n v="2500"/>
  </r>
  <r>
    <s v="Neysa Krish"/>
    <n v="35"/>
    <x v="0"/>
    <x v="1"/>
    <d v="2024-02-07T00:00:00"/>
    <d v="2025-01-28T00:00:00"/>
    <n v="1200"/>
    <n v="25"/>
    <x v="2"/>
    <m/>
    <n v="11"/>
    <x v="1"/>
    <n v="13200"/>
  </r>
  <r>
    <s v="Prerak Boase"/>
    <n v="56"/>
    <x v="1"/>
    <x v="2"/>
    <d v="2023-10-14T00:00:00"/>
    <d v="2024-12-23T00:00:00"/>
    <n v="2500"/>
    <n v="13"/>
    <x v="5"/>
    <m/>
    <n v="14"/>
    <x v="1"/>
    <n v="35000"/>
  </r>
  <r>
    <s v="Siya Master"/>
    <n v="27"/>
    <x v="1"/>
    <x v="0"/>
    <d v="2024-03-03T00:00:00"/>
    <d v="2025-01-07T00:00:00"/>
    <n v="800"/>
    <n v="26"/>
    <x v="3"/>
    <m/>
    <n v="10"/>
    <x v="1"/>
    <n v="8000"/>
  </r>
  <r>
    <s v="Madhup Biswas"/>
    <n v="28"/>
    <x v="0"/>
    <x v="2"/>
    <d v="2024-05-05T00:00:00"/>
    <d v="2024-11-12T00:00:00"/>
    <n v="2500"/>
    <n v="21"/>
    <x v="3"/>
    <s v="Tanya Bajwa"/>
    <n v="6"/>
    <x v="0"/>
    <n v="15000"/>
  </r>
  <r>
    <s v="Indrans Ratti"/>
    <n v="57"/>
    <x v="1"/>
    <x v="3"/>
    <d v="2023-08-08T00:00:00"/>
    <d v="2025-01-17T00:00:00"/>
    <n v="1800"/>
    <n v="19"/>
    <x v="3"/>
    <m/>
    <n v="17"/>
    <x v="1"/>
    <n v="30600"/>
  </r>
  <r>
    <s v="Kimaya Balay"/>
    <n v="26"/>
    <x v="1"/>
    <x v="3"/>
    <d v="2024-01-29T00:00:00"/>
    <d v="2024-11-20T00:00:00"/>
    <n v="1800"/>
    <n v="5"/>
    <x v="0"/>
    <m/>
    <n v="9"/>
    <x v="1"/>
    <n v="16200"/>
  </r>
  <r>
    <s v="Eva Dass"/>
    <n v="48"/>
    <x v="0"/>
    <x v="3"/>
    <d v="2024-06-08T00:00:00"/>
    <d v="2024-06-12T00:00:00"/>
    <n v="1800"/>
    <n v="18"/>
    <x v="5"/>
    <m/>
    <n v="0"/>
    <x v="1"/>
    <n v="0"/>
  </r>
  <r>
    <s v="Pihu Wali"/>
    <n v="25"/>
    <x v="1"/>
    <x v="1"/>
    <d v="2024-05-27T00:00:00"/>
    <d v="2025-03-14T00:00:00"/>
    <n v="1200"/>
    <n v="6"/>
    <x v="0"/>
    <m/>
    <n v="9"/>
    <x v="1"/>
    <n v="10800"/>
  </r>
  <r>
    <s v="Tiya Rege"/>
    <n v="53"/>
    <x v="0"/>
    <x v="3"/>
    <d v="2023-12-26T00:00:00"/>
    <d v="2024-03-21T00:00:00"/>
    <n v="1800"/>
    <n v="17"/>
    <x v="3"/>
    <s v="Adira Brar"/>
    <n v="2"/>
    <x v="0"/>
    <n v="3600"/>
  </r>
  <r>
    <s v="Aarav Sen"/>
    <n v="42"/>
    <x v="1"/>
    <x v="1"/>
    <d v="2025-02-14T00:00:00"/>
    <d v="2025-03-11T00:00:00"/>
    <n v="1200"/>
    <n v="3"/>
    <x v="5"/>
    <m/>
    <n v="0"/>
    <x v="1"/>
    <n v="0"/>
  </r>
  <r>
    <s v="Dishani Bera"/>
    <n v="24"/>
    <x v="0"/>
    <x v="2"/>
    <d v="2025-02-10T00:00:00"/>
    <d v="2025-03-10T00:00:00"/>
    <n v="2500"/>
    <n v="28"/>
    <x v="3"/>
    <m/>
    <n v="0"/>
    <x v="1"/>
    <n v="0"/>
  </r>
  <r>
    <s v="Indrans Grover"/>
    <n v="53"/>
    <x v="0"/>
    <x v="1"/>
    <d v="2024-11-18T00:00:00"/>
    <d v="2024-12-19T00:00:00"/>
    <n v="1200"/>
    <n v="23"/>
    <x v="1"/>
    <m/>
    <n v="1"/>
    <x v="1"/>
    <n v="1200"/>
  </r>
  <r>
    <s v="Kismat Edwin"/>
    <n v="29"/>
    <x v="1"/>
    <x v="2"/>
    <d v="2024-04-19T00:00:00"/>
    <d v="2024-04-26T00:00:00"/>
    <n v="2500"/>
    <n v="8"/>
    <x v="2"/>
    <m/>
    <n v="0"/>
    <x v="1"/>
    <n v="0"/>
  </r>
  <r>
    <s v="Taran Vyas"/>
    <n v="31"/>
    <x v="1"/>
    <x v="2"/>
    <d v="2025-01-10T00:00:00"/>
    <d v="2025-03-29T00:00:00"/>
    <n v="2500"/>
    <n v="23"/>
    <x v="4"/>
    <s v="Nakul Balakrishnan"/>
    <n v="2"/>
    <x v="0"/>
    <n v="5000"/>
  </r>
  <r>
    <s v="Jiya Baral"/>
    <n v="52"/>
    <x v="1"/>
    <x v="0"/>
    <d v="2023-06-11T00:00:00"/>
    <d v="2024-12-30T00:00:00"/>
    <n v="800"/>
    <n v="9"/>
    <x v="5"/>
    <s v="Darshit Sidhu"/>
    <n v="18"/>
    <x v="0"/>
    <n v="14400"/>
  </r>
  <r>
    <s v="Gokul Sahni"/>
    <n v="20"/>
    <x v="0"/>
    <x v="1"/>
    <d v="2024-04-09T00:00:00"/>
    <d v="2024-11-08T00:00:00"/>
    <n v="1200"/>
    <n v="2"/>
    <x v="3"/>
    <m/>
    <n v="7"/>
    <x v="1"/>
    <n v="8400"/>
  </r>
  <r>
    <s v="Prerak Lalla"/>
    <n v="22"/>
    <x v="0"/>
    <x v="0"/>
    <d v="2025-02-11T00:00:00"/>
    <d v="2025-03-24T00:00:00"/>
    <n v="800"/>
    <n v="30"/>
    <x v="3"/>
    <m/>
    <n v="1"/>
    <x v="1"/>
    <n v="800"/>
  </r>
  <r>
    <s v="Hrishita Shroff"/>
    <n v="23"/>
    <x v="0"/>
    <x v="3"/>
    <d v="2024-10-23T00:00:00"/>
    <d v="2025-03-05T00:00:00"/>
    <n v="1800"/>
    <n v="23"/>
    <x v="1"/>
    <s v="Riya Dugal"/>
    <n v="4"/>
    <x v="0"/>
    <n v="7200"/>
  </r>
  <r>
    <s v="Oorja Sachar"/>
    <n v="27"/>
    <x v="1"/>
    <x v="1"/>
    <d v="2024-01-21T00:00:00"/>
    <d v="2024-12-26T00:00:00"/>
    <n v="1200"/>
    <n v="27"/>
    <x v="1"/>
    <m/>
    <n v="11"/>
    <x v="1"/>
    <n v="13200"/>
  </r>
</pivotCacheRecords>
</file>

<file path=xl/pivotCache/pivotCacheRecords3.xml><?xml version="1.0" encoding="utf-8"?>
<pivotCacheRecords xmlns="http://schemas.openxmlformats.org/spreadsheetml/2006/main" xmlns:r="http://schemas.openxmlformats.org/officeDocument/2006/relationships" count="35">
  <r>
    <s v="M001"/>
    <s v="Anay Shanker"/>
    <n v="59"/>
    <x v="0"/>
    <x v="0"/>
    <d v="2023-11-05T00:00:00"/>
    <d v="2024-05-13T00:00:00"/>
    <n v="800"/>
    <n v="25"/>
    <x v="0"/>
    <s v="Hiran Shan"/>
    <n v="6"/>
    <x v="0"/>
    <n v="4800"/>
    <x v="0"/>
  </r>
  <r>
    <s v="M002"/>
    <s v="Parinaaz Shanker"/>
    <n v="27"/>
    <x v="0"/>
    <x v="0"/>
    <d v="2025-02-26T00:00:00"/>
    <d v="2025-03-24T00:00:00"/>
    <n v="800"/>
    <n v="20"/>
    <x v="1"/>
    <s v="Kiara Kakar"/>
    <n v="0"/>
    <x v="0"/>
    <n v="0"/>
    <x v="1"/>
  </r>
  <r>
    <s v="M003"/>
    <s v="Aniruddh Batra"/>
    <n v="24"/>
    <x v="0"/>
    <x v="1"/>
    <d v="2023-09-22T00:00:00"/>
    <d v="2024-03-20T00:00:00"/>
    <n v="1200"/>
    <n v="18"/>
    <x v="2"/>
    <s v="Jhanvi Chaudhary"/>
    <n v="6"/>
    <x v="0"/>
    <n v="7200"/>
    <x v="1"/>
  </r>
  <r>
    <s v="M004"/>
    <s v="Madhup Kapur"/>
    <n v="31"/>
    <x v="1"/>
    <x v="1"/>
    <d v="2024-07-06T00:00:00"/>
    <d v="2024-10-22T00:00:00"/>
    <n v="1200"/>
    <n v="16"/>
    <x v="2"/>
    <s v="Tara Swaminathan"/>
    <n v="3"/>
    <x v="0"/>
    <n v="3600"/>
    <x v="2"/>
  </r>
  <r>
    <s v="M005"/>
    <s v="Rasha Kakar"/>
    <n v="19"/>
    <x v="0"/>
    <x v="2"/>
    <d v="2023-12-26T00:00:00"/>
    <d v="2024-07-28T00:00:00"/>
    <n v="2500"/>
    <n v="12"/>
    <x v="0"/>
    <s v="Madhav Singh"/>
    <n v="7"/>
    <x v="0"/>
    <n v="17500"/>
    <x v="1"/>
  </r>
  <r>
    <s v="M006"/>
    <s v="Ehsaan Batra"/>
    <n v="40"/>
    <x v="0"/>
    <x v="0"/>
    <d v="2024-01-26T00:00:00"/>
    <d v="2024-04-10T00:00:00"/>
    <n v="800"/>
    <n v="14"/>
    <x v="3"/>
    <s v="Shray Ramakrishnan"/>
    <n v="2"/>
    <x v="0"/>
    <n v="1600"/>
    <x v="2"/>
  </r>
  <r>
    <s v="M007"/>
    <s v="Zara Bains"/>
    <n v="41"/>
    <x v="1"/>
    <x v="0"/>
    <d v="2024-10-23T00:00:00"/>
    <d v="2025-01-20T00:00:00"/>
    <n v="800"/>
    <n v="25"/>
    <x v="1"/>
    <m/>
    <n v="2"/>
    <x v="1"/>
    <n v="1600"/>
    <x v="2"/>
  </r>
  <r>
    <s v="M008"/>
    <s v="Uthkarsh Baral"/>
    <n v="43"/>
    <x v="0"/>
    <x v="3"/>
    <d v="2024-06-07T00:00:00"/>
    <d v="2024-09-28T00:00:00"/>
    <n v="1800"/>
    <n v="28"/>
    <x v="4"/>
    <m/>
    <n v="3"/>
    <x v="1"/>
    <n v="5400"/>
    <x v="2"/>
  </r>
  <r>
    <s v="M009"/>
    <s v="Kashvi Char"/>
    <n v="42"/>
    <x v="0"/>
    <x v="0"/>
    <d v="2024-10-04T00:00:00"/>
    <d v="2024-10-17T00:00:00"/>
    <n v="800"/>
    <n v="3"/>
    <x v="4"/>
    <s v="Nitara Comar"/>
    <n v="0"/>
    <x v="0"/>
    <n v="0"/>
    <x v="2"/>
  </r>
  <r>
    <s v="M010"/>
    <s v="Dhanush Varma"/>
    <n v="37"/>
    <x v="0"/>
    <x v="1"/>
    <d v="2023-10-03T00:00:00"/>
    <d v="2023-12-20T00:00:00"/>
    <n v="1200"/>
    <n v="29"/>
    <x v="3"/>
    <s v="Ranbir Karan"/>
    <n v="2"/>
    <x v="0"/>
    <n v="2400"/>
    <x v="2"/>
  </r>
  <r>
    <s v="M011"/>
    <s v="Ishaan Goyal"/>
    <n v="48"/>
    <x v="1"/>
    <x v="1"/>
    <d v="2024-01-06T00:00:00"/>
    <d v="2024-06-16T00:00:00"/>
    <n v="1200"/>
    <n v="13"/>
    <x v="0"/>
    <s v="Rati Sanghvi"/>
    <n v="5"/>
    <x v="0"/>
    <n v="6000"/>
    <x v="0"/>
  </r>
  <r>
    <s v="M012"/>
    <s v="Mahika Ravi"/>
    <n v="36"/>
    <x v="0"/>
    <x v="1"/>
    <d v="2023-08-16T00:00:00"/>
    <d v="2024-10-03T00:00:00"/>
    <n v="1200"/>
    <n v="19"/>
    <x v="4"/>
    <s v="Ishaan Kashyap"/>
    <n v="13"/>
    <x v="0"/>
    <n v="15600"/>
    <x v="2"/>
  </r>
  <r>
    <s v="M013"/>
    <s v="Purab Reddy"/>
    <n v="48"/>
    <x v="1"/>
    <x v="3"/>
    <d v="2024-09-21T00:00:00"/>
    <d v="2024-12-15T00:00:00"/>
    <n v="1800"/>
    <n v="22"/>
    <x v="4"/>
    <m/>
    <n v="2"/>
    <x v="1"/>
    <n v="3600"/>
    <x v="0"/>
  </r>
  <r>
    <s v="M014"/>
    <s v="Tiya Soni"/>
    <n v="39"/>
    <x v="0"/>
    <x v="1"/>
    <d v="2023-05-19T00:00:00"/>
    <d v="2023-11-12T00:00:00"/>
    <n v="1200"/>
    <n v="28"/>
    <x v="3"/>
    <m/>
    <n v="5"/>
    <x v="1"/>
    <n v="6000"/>
    <x v="2"/>
  </r>
  <r>
    <s v="M015"/>
    <s v="Zara Dugar"/>
    <n v="44"/>
    <x v="1"/>
    <x v="0"/>
    <d v="2024-02-11T00:00:00"/>
    <d v="2024-09-05T00:00:00"/>
    <n v="800"/>
    <n v="8"/>
    <x v="2"/>
    <m/>
    <n v="6"/>
    <x v="1"/>
    <n v="4800"/>
    <x v="2"/>
  </r>
  <r>
    <s v="M016"/>
    <s v="Lakshit Mander"/>
    <n v="39"/>
    <x v="0"/>
    <x v="2"/>
    <d v="2025-02-14T00:00:00"/>
    <d v="2025-03-16T00:00:00"/>
    <n v="2500"/>
    <n v="14"/>
    <x v="4"/>
    <m/>
    <n v="1"/>
    <x v="1"/>
    <n v="2500"/>
    <x v="2"/>
  </r>
  <r>
    <s v="M017"/>
    <s v="Neysa Krish"/>
    <n v="35"/>
    <x v="0"/>
    <x v="1"/>
    <d v="2024-02-07T00:00:00"/>
    <d v="2025-01-28T00:00:00"/>
    <n v="1200"/>
    <n v="25"/>
    <x v="2"/>
    <m/>
    <n v="11"/>
    <x v="1"/>
    <n v="13200"/>
    <x v="2"/>
  </r>
  <r>
    <s v="M018"/>
    <s v="Prerak Boase"/>
    <n v="56"/>
    <x v="1"/>
    <x v="2"/>
    <d v="2023-10-14T00:00:00"/>
    <d v="2024-12-23T00:00:00"/>
    <n v="2500"/>
    <n v="13"/>
    <x v="5"/>
    <m/>
    <n v="14"/>
    <x v="1"/>
    <n v="35000"/>
    <x v="0"/>
  </r>
  <r>
    <s v="M019"/>
    <s v="Siya Master"/>
    <n v="27"/>
    <x v="1"/>
    <x v="0"/>
    <d v="2024-03-03T00:00:00"/>
    <d v="2025-01-07T00:00:00"/>
    <n v="800"/>
    <n v="26"/>
    <x v="3"/>
    <m/>
    <n v="10"/>
    <x v="1"/>
    <n v="8000"/>
    <x v="1"/>
  </r>
  <r>
    <s v="M020"/>
    <s v="Madhup Biswas"/>
    <n v="28"/>
    <x v="0"/>
    <x v="2"/>
    <d v="2024-05-05T00:00:00"/>
    <d v="2024-11-12T00:00:00"/>
    <n v="2500"/>
    <n v="21"/>
    <x v="3"/>
    <s v="Tanya Bajwa"/>
    <n v="6"/>
    <x v="0"/>
    <n v="15000"/>
    <x v="1"/>
  </r>
  <r>
    <s v="M021"/>
    <s v="Indrans Ratti"/>
    <n v="57"/>
    <x v="1"/>
    <x v="3"/>
    <d v="2023-08-08T00:00:00"/>
    <d v="2025-01-17T00:00:00"/>
    <n v="1800"/>
    <n v="19"/>
    <x v="3"/>
    <m/>
    <n v="17"/>
    <x v="1"/>
    <n v="30600"/>
    <x v="0"/>
  </r>
  <r>
    <s v="M022"/>
    <s v="Kimaya Balay"/>
    <n v="26"/>
    <x v="1"/>
    <x v="3"/>
    <d v="2024-01-29T00:00:00"/>
    <d v="2024-11-20T00:00:00"/>
    <n v="1800"/>
    <n v="5"/>
    <x v="0"/>
    <m/>
    <n v="9"/>
    <x v="1"/>
    <n v="16200"/>
    <x v="1"/>
  </r>
  <r>
    <s v="M023"/>
    <s v="Eva Dass"/>
    <n v="48"/>
    <x v="0"/>
    <x v="3"/>
    <d v="2024-06-08T00:00:00"/>
    <d v="2024-06-12T00:00:00"/>
    <n v="1800"/>
    <n v="18"/>
    <x v="5"/>
    <m/>
    <n v="0"/>
    <x v="1"/>
    <n v="0"/>
    <x v="0"/>
  </r>
  <r>
    <s v="M024"/>
    <s v="Pihu Wali"/>
    <n v="25"/>
    <x v="1"/>
    <x v="1"/>
    <d v="2024-05-27T00:00:00"/>
    <d v="2025-03-14T00:00:00"/>
    <n v="1200"/>
    <n v="6"/>
    <x v="0"/>
    <m/>
    <n v="9"/>
    <x v="1"/>
    <n v="10800"/>
    <x v="1"/>
  </r>
  <r>
    <s v="M025"/>
    <s v="Tiya Rege"/>
    <n v="53"/>
    <x v="0"/>
    <x v="3"/>
    <d v="2023-12-26T00:00:00"/>
    <d v="2024-03-21T00:00:00"/>
    <n v="1800"/>
    <n v="17"/>
    <x v="3"/>
    <s v="Adira Brar"/>
    <n v="2"/>
    <x v="0"/>
    <n v="3600"/>
    <x v="0"/>
  </r>
  <r>
    <s v="M026"/>
    <s v="Aarav Sen"/>
    <n v="42"/>
    <x v="1"/>
    <x v="1"/>
    <d v="2025-02-14T00:00:00"/>
    <d v="2025-03-11T00:00:00"/>
    <n v="1200"/>
    <n v="3"/>
    <x v="5"/>
    <m/>
    <n v="0"/>
    <x v="1"/>
    <n v="0"/>
    <x v="2"/>
  </r>
  <r>
    <s v="M027"/>
    <s v="Dishani Bera"/>
    <n v="24"/>
    <x v="0"/>
    <x v="2"/>
    <d v="2025-02-10T00:00:00"/>
    <d v="2025-03-10T00:00:00"/>
    <n v="2500"/>
    <n v="28"/>
    <x v="3"/>
    <m/>
    <n v="0"/>
    <x v="1"/>
    <n v="0"/>
    <x v="1"/>
  </r>
  <r>
    <s v="M028"/>
    <s v="Indrans Grover"/>
    <n v="53"/>
    <x v="0"/>
    <x v="1"/>
    <d v="2024-11-18T00:00:00"/>
    <d v="2024-12-19T00:00:00"/>
    <n v="1200"/>
    <n v="23"/>
    <x v="1"/>
    <m/>
    <n v="1"/>
    <x v="1"/>
    <n v="1200"/>
    <x v="0"/>
  </r>
  <r>
    <s v="M029"/>
    <s v="Kismat Edwin"/>
    <n v="29"/>
    <x v="1"/>
    <x v="2"/>
    <d v="2024-04-19T00:00:00"/>
    <d v="2024-04-26T00:00:00"/>
    <n v="2500"/>
    <n v="8"/>
    <x v="2"/>
    <m/>
    <n v="0"/>
    <x v="1"/>
    <n v="0"/>
    <x v="1"/>
  </r>
  <r>
    <s v="M030"/>
    <s v="Taran Vyas"/>
    <n v="31"/>
    <x v="1"/>
    <x v="2"/>
    <d v="2025-01-10T00:00:00"/>
    <d v="2025-03-29T00:00:00"/>
    <n v="2500"/>
    <n v="23"/>
    <x v="4"/>
    <s v="Nakul Balakrishnan"/>
    <n v="2"/>
    <x v="0"/>
    <n v="5000"/>
    <x v="2"/>
  </r>
  <r>
    <s v="M031"/>
    <s v="Jiya Baral"/>
    <n v="52"/>
    <x v="1"/>
    <x v="0"/>
    <d v="2023-06-11T00:00:00"/>
    <d v="2024-12-30T00:00:00"/>
    <n v="800"/>
    <n v="9"/>
    <x v="5"/>
    <s v="Darshit Sidhu"/>
    <n v="18"/>
    <x v="0"/>
    <n v="14400"/>
    <x v="0"/>
  </r>
  <r>
    <s v="M032"/>
    <s v="Gokul Sahni"/>
    <n v="20"/>
    <x v="0"/>
    <x v="1"/>
    <d v="2024-04-09T00:00:00"/>
    <d v="2024-11-08T00:00:00"/>
    <n v="1200"/>
    <n v="2"/>
    <x v="3"/>
    <m/>
    <n v="7"/>
    <x v="1"/>
    <n v="8400"/>
    <x v="1"/>
  </r>
  <r>
    <s v="M033"/>
    <s v="Prerak Lalla"/>
    <n v="22"/>
    <x v="0"/>
    <x v="0"/>
    <d v="2025-02-11T00:00:00"/>
    <d v="2025-03-24T00:00:00"/>
    <n v="800"/>
    <n v="30"/>
    <x v="3"/>
    <m/>
    <n v="1"/>
    <x v="1"/>
    <n v="800"/>
    <x v="1"/>
  </r>
  <r>
    <s v="M034"/>
    <s v="Hrishita Shroff"/>
    <n v="23"/>
    <x v="0"/>
    <x v="3"/>
    <d v="2024-10-23T00:00:00"/>
    <d v="2025-03-05T00:00:00"/>
    <n v="1800"/>
    <n v="23"/>
    <x v="1"/>
    <s v="Riya Dugal"/>
    <n v="4"/>
    <x v="0"/>
    <n v="7200"/>
    <x v="1"/>
  </r>
  <r>
    <s v="M035"/>
    <s v="Oorja Sachar"/>
    <n v="27"/>
    <x v="1"/>
    <x v="1"/>
    <d v="2024-01-21T00:00:00"/>
    <d v="2024-12-26T00:00:00"/>
    <n v="1200"/>
    <n v="27"/>
    <x v="1"/>
    <m/>
    <n v="11"/>
    <x v="1"/>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6" firstHeaderRow="1" firstDataRow="1" firstDataCol="1"/>
  <pivotFields count="7">
    <pivotField dataField="1" showAll="0"/>
    <pivotField showAll="0"/>
    <pivotField showAll="0"/>
    <pivotField showAll="0"/>
    <pivotField showAll="0"/>
    <pivotField axis="axisRow" showAll="0">
      <items count="3">
        <item x="1"/>
        <item x="0"/>
        <item t="default"/>
      </items>
    </pivotField>
    <pivotField showAll="0"/>
  </pivotFields>
  <rowFields count="1">
    <field x="5"/>
  </rowFields>
  <rowItems count="3">
    <i>
      <x/>
    </i>
    <i>
      <x v="1"/>
    </i>
    <i t="grand">
      <x/>
    </i>
  </rowItems>
  <colItems count="1">
    <i/>
  </colItems>
  <dataFields count="1">
    <dataField name="Sum of Monthly_Fe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3">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Revenue" fld="12" baseField="0" baseItem="0"/>
  </dataFields>
  <formats count="6">
    <format dxfId="9">
      <pivotArea dataOnly="0" labelOnly="1" outline="0" axis="axisValues" fieldPosition="0"/>
    </format>
    <format dxfId="8">
      <pivotArea collapsedLevelsAreSubtotals="1" fieldPosition="0">
        <references count="1">
          <reference field="3" count="1">
            <x v="0"/>
          </reference>
        </references>
      </pivotArea>
    </format>
    <format dxfId="7">
      <pivotArea collapsedLevelsAreSubtotals="1" fieldPosition="0">
        <references count="1">
          <reference field="3" count="1">
            <x v="1"/>
          </reference>
        </references>
      </pivotArea>
    </format>
    <format dxfId="6">
      <pivotArea collapsedLevelsAreSubtotals="1" fieldPosition="0">
        <references count="1">
          <reference field="3" count="1">
            <x v="2"/>
          </reference>
        </references>
      </pivotArea>
    </format>
    <format dxfId="5">
      <pivotArea collapsedLevelsAreSubtotals="1" fieldPosition="0">
        <references count="1">
          <reference field="3" count="1">
            <x v="3"/>
          </reference>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 firstHeaderRow="1" firstDataRow="1" firstDataCol="1"/>
  <pivotFields count="13">
    <pivotField showAll="0"/>
    <pivotField showAll="0"/>
    <pivotField showAll="0"/>
    <pivotField showAll="0"/>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pivotField dataField="1" showAll="0"/>
  </pivotFields>
  <rowFields count="1">
    <field x="8"/>
  </rowFields>
  <rowItems count="7">
    <i>
      <x/>
    </i>
    <i>
      <x v="1"/>
    </i>
    <i>
      <x v="2"/>
    </i>
    <i>
      <x v="3"/>
    </i>
    <i>
      <x v="4"/>
    </i>
    <i>
      <x v="5"/>
    </i>
    <i t="grand">
      <x/>
    </i>
  </rowItems>
  <colItems count="1">
    <i/>
  </colItems>
  <dataFields count="1">
    <dataField name="Sum of Total_Revenue" fld="12" baseField="0" baseItem="0" numFmtId="168"/>
  </dataFields>
  <formats count="2">
    <format dxfId="3">
      <pivotArea collapsedLevelsAreSubtotals="1" fieldPosition="0">
        <references count="1">
          <reference field="8" count="1">
            <x v="0"/>
          </reference>
        </references>
      </pivotArea>
    </format>
    <format dxfId="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3">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Revenue"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F11" firstHeaderRow="1" firstDataRow="2" firstDataCol="1" rowPageCount="1" colPageCount="1"/>
  <pivotFields count="13">
    <pivotField showAll="0"/>
    <pivotField showAll="0"/>
    <pivotField showAll="0"/>
    <pivotField axis="axisCol"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axis="axisPage" showAll="0">
      <items count="3">
        <item x="1"/>
        <item x="0"/>
        <item t="default"/>
      </items>
    </pivotField>
    <pivotField dataField="1" showAll="0"/>
  </pivotFields>
  <rowFields count="1">
    <field x="8"/>
  </rowFields>
  <rowItems count="7">
    <i>
      <x/>
    </i>
    <i>
      <x v="1"/>
    </i>
    <i>
      <x v="2"/>
    </i>
    <i>
      <x v="3"/>
    </i>
    <i>
      <x v="4"/>
    </i>
    <i>
      <x v="5"/>
    </i>
    <i t="grand">
      <x/>
    </i>
  </rowItems>
  <colFields count="1">
    <field x="3"/>
  </colFields>
  <colItems count="5">
    <i>
      <x/>
    </i>
    <i>
      <x v="1"/>
    </i>
    <i>
      <x v="2"/>
    </i>
    <i>
      <x v="3"/>
    </i>
    <i t="grand">
      <x/>
    </i>
  </colItems>
  <pageFields count="1">
    <pageField fld="11" hier="-1"/>
  </pageFields>
  <dataFields count="1">
    <dataField name="Sum of Total_Revenue" fld="12"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D11" firstHeaderRow="1" firstDataRow="2" firstDataCol="1"/>
  <pivotFields count="15">
    <pivotField dataField="1" showAll="0"/>
    <pivotField showAll="0"/>
    <pivotField showAll="0"/>
    <pivotField axis="axisCol" showAll="0">
      <items count="3">
        <item x="1"/>
        <item x="0"/>
        <item t="default"/>
      </items>
    </pivotField>
    <pivotField showAll="0">
      <items count="5">
        <item x="0"/>
        <item x="2"/>
        <item x="3"/>
        <item x="1"/>
        <item t="default"/>
      </items>
    </pivotField>
    <pivotField numFmtId="164" showAll="0"/>
    <pivotField numFmtId="164" showAll="0"/>
    <pivotField showAll="0"/>
    <pivotField showAll="0"/>
    <pivotField axis="axisRow" showAll="0">
      <items count="7">
        <item x="0"/>
        <item x="5"/>
        <item x="2"/>
        <item x="4"/>
        <item x="3"/>
        <item x="1"/>
        <item t="default"/>
      </items>
    </pivotField>
    <pivotField showAll="0"/>
    <pivotField showAll="0"/>
    <pivotField showAll="0">
      <items count="3">
        <item x="1"/>
        <item x="0"/>
        <item t="default"/>
      </items>
    </pivotField>
    <pivotField showAll="0"/>
    <pivotField showAll="0"/>
  </pivotFields>
  <rowFields count="1">
    <field x="9"/>
  </rowFields>
  <rowItems count="7">
    <i>
      <x/>
    </i>
    <i>
      <x v="1"/>
    </i>
    <i>
      <x v="2"/>
    </i>
    <i>
      <x v="3"/>
    </i>
    <i>
      <x v="4"/>
    </i>
    <i>
      <x v="5"/>
    </i>
    <i t="grand">
      <x/>
    </i>
  </rowItems>
  <colFields count="1">
    <field x="3"/>
  </colFields>
  <colItems count="3">
    <i>
      <x/>
    </i>
    <i>
      <x v="1"/>
    </i>
    <i t="grand">
      <x/>
    </i>
  </colItems>
  <dataFields count="1">
    <dataField name="Count of Membership_ID" fld="0" subtotal="count"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2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E9" firstHeaderRow="1" firstDataRow="2" firstDataCol="1"/>
  <pivotFields count="15">
    <pivotField dataField="1" showAll="0"/>
    <pivotField showAll="0"/>
    <pivotField showAll="0"/>
    <pivotField showAll="0"/>
    <pivotField axis="axisRow" showAll="0">
      <items count="5">
        <item x="0"/>
        <item x="2"/>
        <item x="3"/>
        <item x="1"/>
        <item t="default"/>
      </items>
    </pivotField>
    <pivotField numFmtId="164" showAll="0"/>
    <pivotField numFmtId="164" showAll="0"/>
    <pivotField showAll="0"/>
    <pivotField showAll="0"/>
    <pivotField showAll="0"/>
    <pivotField showAll="0"/>
    <pivotField showAll="0"/>
    <pivotField showAll="0"/>
    <pivotField showAll="0"/>
    <pivotField axis="axisCol" showAll="0">
      <items count="4">
        <item x="2"/>
        <item x="0"/>
        <item x="1"/>
        <item t="default"/>
      </items>
    </pivotField>
  </pivotFields>
  <rowFields count="1">
    <field x="4"/>
  </rowFields>
  <rowItems count="5">
    <i>
      <x/>
    </i>
    <i>
      <x v="1"/>
    </i>
    <i>
      <x v="2"/>
    </i>
    <i>
      <x v="3"/>
    </i>
    <i t="grand">
      <x/>
    </i>
  </rowItems>
  <colFields count="1">
    <field x="14"/>
  </colFields>
  <colItems count="4">
    <i>
      <x/>
    </i>
    <i>
      <x v="1"/>
    </i>
    <i>
      <x v="2"/>
    </i>
    <i t="grand">
      <x/>
    </i>
  </colItems>
  <dataFields count="1">
    <dataField name="Count of Membership_ID" fld="0" subtotal="count" baseField="0" baseItem="0"/>
  </dataField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embership_Type" sourceName="Membership_Type">
  <pivotTables>
    <pivotTable tabId="8" name="PivotTable5"/>
  </pivotTables>
  <data>
    <tabular pivotCacheId="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8" name="PivotTable5"/>
  </pivotTables>
  <data>
    <tabular pivotCacheId="1">
      <items count="6">
        <i x="0" s="1"/>
        <i x="5"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ferred" sourceName="Referred">
  <pivotTables>
    <pivotTable tabId="8" name="PivotTable5"/>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_Type" cache="Slicer_Membership_Type" caption="Membership_Type" rowHeight="241300"/>
  <slicer name="City" cache="Slicer_City" caption="City" rowHeight="241300"/>
  <slicer name="Referred" cache="Slicer_Referred" caption="Referred"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tabSelected="1" workbookViewId="0">
      <selection activeCell="C16" sqref="C16"/>
    </sheetView>
  </sheetViews>
  <sheetFormatPr defaultColWidth="14.42578125" defaultRowHeight="15" customHeight="1" x14ac:dyDescent="0.25"/>
  <cols>
    <col min="1" max="1" width="15" customWidth="1"/>
    <col min="2" max="2" width="16.42578125" customWidth="1"/>
    <col min="3" max="4" width="8.7109375" customWidth="1"/>
    <col min="5" max="5" width="20.5703125" customWidth="1"/>
    <col min="6" max="6" width="19.5703125" customWidth="1"/>
    <col min="7" max="7" width="16.140625" customWidth="1"/>
    <col min="8" max="8" width="14.7109375" customWidth="1"/>
    <col min="9" max="10" width="16" customWidth="1"/>
    <col min="11" max="11" width="28.85546875" customWidth="1"/>
    <col min="12" max="12" width="29.28515625" style="10" customWidth="1"/>
    <col min="13" max="13" width="14.42578125" style="10" customWidth="1"/>
    <col min="14" max="14" width="19" style="10" customWidth="1"/>
    <col min="15" max="15" width="19.85546875" customWidth="1"/>
    <col min="16" max="26" width="8.7109375" customWidth="1"/>
  </cols>
  <sheetData>
    <row r="1" spans="1:15" x14ac:dyDescent="0.25">
      <c r="A1" s="5" t="s">
        <v>124</v>
      </c>
      <c r="B1" s="1" t="s">
        <v>0</v>
      </c>
      <c r="C1" s="1" t="s">
        <v>1</v>
      </c>
      <c r="D1" s="1" t="s">
        <v>2</v>
      </c>
      <c r="E1" s="1" t="s">
        <v>3</v>
      </c>
      <c r="F1" s="1" t="s">
        <v>4</v>
      </c>
      <c r="G1" s="1" t="s">
        <v>5</v>
      </c>
      <c r="H1" s="5" t="s">
        <v>6</v>
      </c>
      <c r="I1" s="1" t="s">
        <v>7</v>
      </c>
      <c r="J1" s="1" t="s">
        <v>8</v>
      </c>
      <c r="K1" s="1" t="s">
        <v>9</v>
      </c>
      <c r="L1" s="9" t="s">
        <v>107</v>
      </c>
      <c r="M1" s="9" t="s">
        <v>108</v>
      </c>
      <c r="N1" s="9" t="s">
        <v>109</v>
      </c>
      <c r="O1" s="9" t="s">
        <v>123</v>
      </c>
    </row>
    <row r="2" spans="1:15" x14ac:dyDescent="0.25">
      <c r="A2" s="2" t="s">
        <v>10</v>
      </c>
      <c r="B2" s="2" t="s">
        <v>11</v>
      </c>
      <c r="C2" s="2">
        <v>59</v>
      </c>
      <c r="D2" s="2" t="s">
        <v>12</v>
      </c>
      <c r="E2" s="2" t="s">
        <v>13</v>
      </c>
      <c r="F2" s="3">
        <v>45235</v>
      </c>
      <c r="G2" s="3">
        <v>45425</v>
      </c>
      <c r="H2" s="2">
        <v>800</v>
      </c>
      <c r="I2" s="2">
        <v>25</v>
      </c>
      <c r="J2" s="2" t="s">
        <v>14</v>
      </c>
      <c r="K2" s="2" t="s">
        <v>15</v>
      </c>
      <c r="L2" s="10">
        <f>INT((G2-F2)/30)</f>
        <v>6</v>
      </c>
      <c r="M2" s="10" t="str">
        <f>IF(K2="","No","Yes")</f>
        <v>Yes</v>
      </c>
      <c r="N2" s="10">
        <f>H2*L2</f>
        <v>4800</v>
      </c>
      <c r="O2" t="str">
        <f>IF(C2&lt;=30,"Youth",IF(C2&lt;=45,"Adult","Senior"))</f>
        <v>Senior</v>
      </c>
    </row>
    <row r="3" spans="1:15" x14ac:dyDescent="0.25">
      <c r="A3" s="2" t="s">
        <v>16</v>
      </c>
      <c r="B3" s="2" t="s">
        <v>17</v>
      </c>
      <c r="C3" s="2">
        <v>27</v>
      </c>
      <c r="D3" s="2" t="s">
        <v>12</v>
      </c>
      <c r="E3" s="2" t="s">
        <v>13</v>
      </c>
      <c r="F3" s="3">
        <v>45714</v>
      </c>
      <c r="G3" s="3">
        <v>45740</v>
      </c>
      <c r="H3" s="2">
        <v>800</v>
      </c>
      <c r="I3" s="2">
        <v>20</v>
      </c>
      <c r="J3" s="2" t="s">
        <v>18</v>
      </c>
      <c r="K3" s="2" t="s">
        <v>19</v>
      </c>
      <c r="L3" s="10">
        <f t="shared" ref="L3:L36" si="0">INT((G3-F3)/30)</f>
        <v>0</v>
      </c>
      <c r="M3" s="10" t="str">
        <f t="shared" ref="M3:M36" si="1">IF(K3="","No","Yes")</f>
        <v>Yes</v>
      </c>
      <c r="N3" s="10">
        <f t="shared" ref="N3:N36" si="2">H3*L3</f>
        <v>0</v>
      </c>
      <c r="O3" t="str">
        <f t="shared" ref="O3:O36" si="3">IF(C3&lt;=30,"Youth",IF(C3&lt;=45,"Adult","Senior"))</f>
        <v>Youth</v>
      </c>
    </row>
    <row r="4" spans="1:15" x14ac:dyDescent="0.25">
      <c r="A4" s="2" t="s">
        <v>20</v>
      </c>
      <c r="B4" s="2" t="s">
        <v>21</v>
      </c>
      <c r="C4" s="2">
        <v>24</v>
      </c>
      <c r="D4" s="2" t="s">
        <v>12</v>
      </c>
      <c r="E4" s="2" t="s">
        <v>22</v>
      </c>
      <c r="F4" s="3">
        <v>45191</v>
      </c>
      <c r="G4" s="3">
        <v>45371</v>
      </c>
      <c r="H4" s="2">
        <v>1200</v>
      </c>
      <c r="I4" s="2">
        <v>18</v>
      </c>
      <c r="J4" s="2" t="s">
        <v>23</v>
      </c>
      <c r="K4" s="2" t="s">
        <v>24</v>
      </c>
      <c r="L4" s="10">
        <f t="shared" si="0"/>
        <v>6</v>
      </c>
      <c r="M4" s="10" t="str">
        <f t="shared" si="1"/>
        <v>Yes</v>
      </c>
      <c r="N4" s="10">
        <f t="shared" si="2"/>
        <v>7200</v>
      </c>
      <c r="O4" t="str">
        <f t="shared" si="3"/>
        <v>Youth</v>
      </c>
    </row>
    <row r="5" spans="1:15" x14ac:dyDescent="0.25">
      <c r="A5" s="2" t="s">
        <v>25</v>
      </c>
      <c r="B5" s="2" t="s">
        <v>26</v>
      </c>
      <c r="C5" s="2">
        <v>31</v>
      </c>
      <c r="D5" s="2" t="s">
        <v>27</v>
      </c>
      <c r="E5" s="2" t="s">
        <v>22</v>
      </c>
      <c r="F5" s="3">
        <v>45479</v>
      </c>
      <c r="G5" s="3">
        <v>45587</v>
      </c>
      <c r="H5" s="2">
        <v>1200</v>
      </c>
      <c r="I5" s="2">
        <v>16</v>
      </c>
      <c r="J5" s="2" t="s">
        <v>23</v>
      </c>
      <c r="K5" s="2" t="s">
        <v>28</v>
      </c>
      <c r="L5" s="10">
        <f t="shared" si="0"/>
        <v>3</v>
      </c>
      <c r="M5" s="10" t="str">
        <f t="shared" si="1"/>
        <v>Yes</v>
      </c>
      <c r="N5" s="10">
        <f t="shared" si="2"/>
        <v>3600</v>
      </c>
      <c r="O5" t="str">
        <f t="shared" si="3"/>
        <v>Adult</v>
      </c>
    </row>
    <row r="6" spans="1:15" x14ac:dyDescent="0.25">
      <c r="A6" s="2" t="s">
        <v>29</v>
      </c>
      <c r="B6" s="2" t="s">
        <v>30</v>
      </c>
      <c r="C6" s="2">
        <v>19</v>
      </c>
      <c r="D6" s="2" t="s">
        <v>12</v>
      </c>
      <c r="E6" s="2" t="s">
        <v>31</v>
      </c>
      <c r="F6" s="3">
        <v>45286</v>
      </c>
      <c r="G6" s="3">
        <v>45501</v>
      </c>
      <c r="H6" s="2">
        <v>2500</v>
      </c>
      <c r="I6" s="2">
        <v>12</v>
      </c>
      <c r="J6" s="2" t="s">
        <v>14</v>
      </c>
      <c r="K6" s="2" t="s">
        <v>32</v>
      </c>
      <c r="L6" s="10">
        <f t="shared" si="0"/>
        <v>7</v>
      </c>
      <c r="M6" s="10" t="str">
        <f t="shared" si="1"/>
        <v>Yes</v>
      </c>
      <c r="N6" s="10">
        <f t="shared" si="2"/>
        <v>17500</v>
      </c>
      <c r="O6" t="str">
        <f t="shared" si="3"/>
        <v>Youth</v>
      </c>
    </row>
    <row r="7" spans="1:15" x14ac:dyDescent="0.25">
      <c r="A7" s="2" t="s">
        <v>33</v>
      </c>
      <c r="B7" s="2" t="s">
        <v>34</v>
      </c>
      <c r="C7" s="2">
        <v>40</v>
      </c>
      <c r="D7" s="2" t="s">
        <v>12</v>
      </c>
      <c r="E7" s="2" t="s">
        <v>13</v>
      </c>
      <c r="F7" s="3">
        <v>45317</v>
      </c>
      <c r="G7" s="3">
        <v>45392</v>
      </c>
      <c r="H7" s="2">
        <v>800</v>
      </c>
      <c r="I7" s="2">
        <v>14</v>
      </c>
      <c r="J7" s="2" t="s">
        <v>35</v>
      </c>
      <c r="K7" s="2" t="s">
        <v>36</v>
      </c>
      <c r="L7" s="10">
        <f t="shared" si="0"/>
        <v>2</v>
      </c>
      <c r="M7" s="10" t="str">
        <f t="shared" si="1"/>
        <v>Yes</v>
      </c>
      <c r="N7" s="10">
        <f t="shared" si="2"/>
        <v>1600</v>
      </c>
      <c r="O7" t="str">
        <f t="shared" si="3"/>
        <v>Adult</v>
      </c>
    </row>
    <row r="8" spans="1:15" x14ac:dyDescent="0.25">
      <c r="A8" s="2" t="s">
        <v>37</v>
      </c>
      <c r="B8" s="2" t="s">
        <v>38</v>
      </c>
      <c r="C8" s="2">
        <v>41</v>
      </c>
      <c r="D8" s="2" t="s">
        <v>27</v>
      </c>
      <c r="E8" s="2" t="s">
        <v>13</v>
      </c>
      <c r="F8" s="3">
        <v>45588</v>
      </c>
      <c r="G8" s="3">
        <v>45677</v>
      </c>
      <c r="H8" s="2">
        <v>800</v>
      </c>
      <c r="I8" s="2">
        <v>25</v>
      </c>
      <c r="J8" s="2" t="s">
        <v>18</v>
      </c>
      <c r="L8" s="10">
        <f t="shared" si="0"/>
        <v>2</v>
      </c>
      <c r="M8" s="10" t="str">
        <f t="shared" si="1"/>
        <v>No</v>
      </c>
      <c r="N8" s="10">
        <f t="shared" si="2"/>
        <v>1600</v>
      </c>
      <c r="O8" t="str">
        <f t="shared" si="3"/>
        <v>Adult</v>
      </c>
    </row>
    <row r="9" spans="1:15" x14ac:dyDescent="0.25">
      <c r="A9" s="2" t="s">
        <v>39</v>
      </c>
      <c r="B9" s="2" t="s">
        <v>40</v>
      </c>
      <c r="C9" s="2">
        <v>43</v>
      </c>
      <c r="D9" s="2" t="s">
        <v>12</v>
      </c>
      <c r="E9" s="2" t="s">
        <v>41</v>
      </c>
      <c r="F9" s="3">
        <v>45450</v>
      </c>
      <c r="G9" s="3">
        <v>45563</v>
      </c>
      <c r="H9" s="2">
        <v>1800</v>
      </c>
      <c r="I9" s="2">
        <v>28</v>
      </c>
      <c r="J9" s="2" t="s">
        <v>42</v>
      </c>
      <c r="L9" s="10">
        <f t="shared" si="0"/>
        <v>3</v>
      </c>
      <c r="M9" s="10" t="str">
        <f t="shared" si="1"/>
        <v>No</v>
      </c>
      <c r="N9" s="10">
        <f t="shared" si="2"/>
        <v>5400</v>
      </c>
      <c r="O9" t="str">
        <f t="shared" si="3"/>
        <v>Adult</v>
      </c>
    </row>
    <row r="10" spans="1:15" x14ac:dyDescent="0.25">
      <c r="A10" s="2" t="s">
        <v>43</v>
      </c>
      <c r="B10" s="2" t="s">
        <v>44</v>
      </c>
      <c r="C10" s="2">
        <v>42</v>
      </c>
      <c r="D10" s="2" t="s">
        <v>12</v>
      </c>
      <c r="E10" s="2" t="s">
        <v>13</v>
      </c>
      <c r="F10" s="3">
        <v>45569</v>
      </c>
      <c r="G10" s="3">
        <v>45582</v>
      </c>
      <c r="H10" s="2">
        <v>800</v>
      </c>
      <c r="I10" s="2">
        <v>3</v>
      </c>
      <c r="J10" s="2" t="s">
        <v>42</v>
      </c>
      <c r="K10" s="2" t="s">
        <v>45</v>
      </c>
      <c r="L10" s="10">
        <f t="shared" si="0"/>
        <v>0</v>
      </c>
      <c r="M10" s="10" t="str">
        <f t="shared" si="1"/>
        <v>Yes</v>
      </c>
      <c r="N10" s="10">
        <f t="shared" si="2"/>
        <v>0</v>
      </c>
      <c r="O10" t="str">
        <f t="shared" si="3"/>
        <v>Adult</v>
      </c>
    </row>
    <row r="11" spans="1:15" x14ac:dyDescent="0.25">
      <c r="A11" s="2" t="s">
        <v>46</v>
      </c>
      <c r="B11" s="2" t="s">
        <v>47</v>
      </c>
      <c r="C11" s="2">
        <v>37</v>
      </c>
      <c r="D11" s="2" t="s">
        <v>12</v>
      </c>
      <c r="E11" s="2" t="s">
        <v>22</v>
      </c>
      <c r="F11" s="3">
        <v>45202</v>
      </c>
      <c r="G11" s="3">
        <v>45280</v>
      </c>
      <c r="H11" s="2">
        <v>1200</v>
      </c>
      <c r="I11" s="2">
        <v>29</v>
      </c>
      <c r="J11" s="2" t="s">
        <v>35</v>
      </c>
      <c r="K11" s="2" t="s">
        <v>48</v>
      </c>
      <c r="L11" s="10">
        <f t="shared" si="0"/>
        <v>2</v>
      </c>
      <c r="M11" s="10" t="str">
        <f t="shared" si="1"/>
        <v>Yes</v>
      </c>
      <c r="N11" s="10">
        <f t="shared" si="2"/>
        <v>2400</v>
      </c>
      <c r="O11" t="str">
        <f t="shared" si="3"/>
        <v>Adult</v>
      </c>
    </row>
    <row r="12" spans="1:15" x14ac:dyDescent="0.25">
      <c r="A12" s="2" t="s">
        <v>49</v>
      </c>
      <c r="B12" s="2" t="s">
        <v>50</v>
      </c>
      <c r="C12" s="2">
        <v>48</v>
      </c>
      <c r="D12" s="2" t="s">
        <v>27</v>
      </c>
      <c r="E12" s="2" t="s">
        <v>22</v>
      </c>
      <c r="F12" s="3">
        <v>45297</v>
      </c>
      <c r="G12" s="3">
        <v>45459</v>
      </c>
      <c r="H12" s="2">
        <v>1200</v>
      </c>
      <c r="I12" s="2">
        <v>13</v>
      </c>
      <c r="J12" s="2" t="s">
        <v>14</v>
      </c>
      <c r="K12" s="2" t="s">
        <v>51</v>
      </c>
      <c r="L12" s="10">
        <f t="shared" si="0"/>
        <v>5</v>
      </c>
      <c r="M12" s="10" t="str">
        <f t="shared" si="1"/>
        <v>Yes</v>
      </c>
      <c r="N12" s="10">
        <f t="shared" si="2"/>
        <v>6000</v>
      </c>
      <c r="O12" t="str">
        <f t="shared" si="3"/>
        <v>Senior</v>
      </c>
    </row>
    <row r="13" spans="1:15" x14ac:dyDescent="0.25">
      <c r="A13" s="2" t="s">
        <v>52</v>
      </c>
      <c r="B13" s="2" t="s">
        <v>53</v>
      </c>
      <c r="C13" s="2">
        <v>36</v>
      </c>
      <c r="D13" s="2" t="s">
        <v>12</v>
      </c>
      <c r="E13" s="2" t="s">
        <v>22</v>
      </c>
      <c r="F13" s="3">
        <v>45154</v>
      </c>
      <c r="G13" s="3">
        <v>45568</v>
      </c>
      <c r="H13" s="2">
        <v>1200</v>
      </c>
      <c r="I13" s="2">
        <v>19</v>
      </c>
      <c r="J13" s="2" t="s">
        <v>42</v>
      </c>
      <c r="K13" s="2" t="s">
        <v>54</v>
      </c>
      <c r="L13" s="10">
        <f t="shared" si="0"/>
        <v>13</v>
      </c>
      <c r="M13" s="10" t="str">
        <f t="shared" si="1"/>
        <v>Yes</v>
      </c>
      <c r="N13" s="10">
        <f t="shared" si="2"/>
        <v>15600</v>
      </c>
      <c r="O13" t="str">
        <f t="shared" si="3"/>
        <v>Adult</v>
      </c>
    </row>
    <row r="14" spans="1:15" x14ac:dyDescent="0.25">
      <c r="A14" s="2" t="s">
        <v>55</v>
      </c>
      <c r="B14" s="2" t="s">
        <v>56</v>
      </c>
      <c r="C14" s="2">
        <v>48</v>
      </c>
      <c r="D14" s="2" t="s">
        <v>27</v>
      </c>
      <c r="E14" s="2" t="s">
        <v>41</v>
      </c>
      <c r="F14" s="3">
        <v>45556</v>
      </c>
      <c r="G14" s="3">
        <v>45641</v>
      </c>
      <c r="H14" s="2">
        <v>1800</v>
      </c>
      <c r="I14" s="2">
        <v>22</v>
      </c>
      <c r="J14" s="2" t="s">
        <v>42</v>
      </c>
      <c r="L14" s="10">
        <f t="shared" si="0"/>
        <v>2</v>
      </c>
      <c r="M14" s="10" t="str">
        <f t="shared" si="1"/>
        <v>No</v>
      </c>
      <c r="N14" s="10">
        <f t="shared" si="2"/>
        <v>3600</v>
      </c>
      <c r="O14" t="str">
        <f t="shared" si="3"/>
        <v>Senior</v>
      </c>
    </row>
    <row r="15" spans="1:15" x14ac:dyDescent="0.25">
      <c r="A15" s="2" t="s">
        <v>57</v>
      </c>
      <c r="B15" s="2" t="s">
        <v>58</v>
      </c>
      <c r="C15" s="2">
        <v>39</v>
      </c>
      <c r="D15" s="2" t="s">
        <v>12</v>
      </c>
      <c r="E15" s="2" t="s">
        <v>22</v>
      </c>
      <c r="F15" s="3">
        <v>45065</v>
      </c>
      <c r="G15" s="3">
        <v>45242</v>
      </c>
      <c r="H15" s="2">
        <v>1200</v>
      </c>
      <c r="I15" s="2">
        <v>28</v>
      </c>
      <c r="J15" s="2" t="s">
        <v>35</v>
      </c>
      <c r="L15" s="10">
        <f t="shared" si="0"/>
        <v>5</v>
      </c>
      <c r="M15" s="10" t="str">
        <f t="shared" si="1"/>
        <v>No</v>
      </c>
      <c r="N15" s="10">
        <f t="shared" si="2"/>
        <v>6000</v>
      </c>
      <c r="O15" t="str">
        <f t="shared" si="3"/>
        <v>Adult</v>
      </c>
    </row>
    <row r="16" spans="1:15" x14ac:dyDescent="0.25">
      <c r="A16" s="2" t="s">
        <v>59</v>
      </c>
      <c r="B16" s="2" t="s">
        <v>60</v>
      </c>
      <c r="C16" s="2">
        <v>44</v>
      </c>
      <c r="D16" s="2" t="s">
        <v>27</v>
      </c>
      <c r="E16" s="2" t="s">
        <v>13</v>
      </c>
      <c r="F16" s="3">
        <v>45333</v>
      </c>
      <c r="G16" s="3">
        <v>45540</v>
      </c>
      <c r="H16" s="2">
        <v>800</v>
      </c>
      <c r="I16" s="2">
        <v>8</v>
      </c>
      <c r="J16" s="2" t="s">
        <v>23</v>
      </c>
      <c r="L16" s="10">
        <f t="shared" si="0"/>
        <v>6</v>
      </c>
      <c r="M16" s="10" t="str">
        <f t="shared" si="1"/>
        <v>No</v>
      </c>
      <c r="N16" s="10">
        <f t="shared" si="2"/>
        <v>4800</v>
      </c>
      <c r="O16" t="str">
        <f t="shared" si="3"/>
        <v>Adult</v>
      </c>
    </row>
    <row r="17" spans="1:15" x14ac:dyDescent="0.25">
      <c r="A17" s="2" t="s">
        <v>61</v>
      </c>
      <c r="B17" s="2" t="s">
        <v>62</v>
      </c>
      <c r="C17" s="2">
        <v>39</v>
      </c>
      <c r="D17" s="2" t="s">
        <v>12</v>
      </c>
      <c r="E17" s="2" t="s">
        <v>31</v>
      </c>
      <c r="F17" s="3">
        <v>45702</v>
      </c>
      <c r="G17" s="3">
        <v>45732</v>
      </c>
      <c r="H17" s="2">
        <v>2500</v>
      </c>
      <c r="I17" s="2">
        <v>14</v>
      </c>
      <c r="J17" s="2" t="s">
        <v>42</v>
      </c>
      <c r="L17" s="10">
        <f t="shared" si="0"/>
        <v>1</v>
      </c>
      <c r="M17" s="10" t="str">
        <f t="shared" si="1"/>
        <v>No</v>
      </c>
      <c r="N17" s="10">
        <f t="shared" si="2"/>
        <v>2500</v>
      </c>
      <c r="O17" t="str">
        <f t="shared" si="3"/>
        <v>Adult</v>
      </c>
    </row>
    <row r="18" spans="1:15" x14ac:dyDescent="0.25">
      <c r="A18" s="2" t="s">
        <v>63</v>
      </c>
      <c r="B18" s="2" t="s">
        <v>64</v>
      </c>
      <c r="C18" s="2">
        <v>35</v>
      </c>
      <c r="D18" s="2" t="s">
        <v>12</v>
      </c>
      <c r="E18" s="2" t="s">
        <v>22</v>
      </c>
      <c r="F18" s="3">
        <v>45329</v>
      </c>
      <c r="G18" s="3">
        <v>45685</v>
      </c>
      <c r="H18" s="2">
        <v>1200</v>
      </c>
      <c r="I18" s="2">
        <v>25</v>
      </c>
      <c r="J18" s="2" t="s">
        <v>23</v>
      </c>
      <c r="L18" s="10">
        <f t="shared" si="0"/>
        <v>11</v>
      </c>
      <c r="M18" s="10" t="str">
        <f t="shared" si="1"/>
        <v>No</v>
      </c>
      <c r="N18" s="10">
        <f t="shared" si="2"/>
        <v>13200</v>
      </c>
      <c r="O18" t="str">
        <f t="shared" si="3"/>
        <v>Adult</v>
      </c>
    </row>
    <row r="19" spans="1:15" x14ac:dyDescent="0.25">
      <c r="A19" s="2" t="s">
        <v>65</v>
      </c>
      <c r="B19" s="2" t="s">
        <v>66</v>
      </c>
      <c r="C19" s="2">
        <v>56</v>
      </c>
      <c r="D19" s="2" t="s">
        <v>27</v>
      </c>
      <c r="E19" s="2" t="s">
        <v>31</v>
      </c>
      <c r="F19" s="3">
        <v>45213</v>
      </c>
      <c r="G19" s="3">
        <v>45649</v>
      </c>
      <c r="H19" s="2">
        <v>2500</v>
      </c>
      <c r="I19" s="2">
        <v>13</v>
      </c>
      <c r="J19" s="2" t="s">
        <v>67</v>
      </c>
      <c r="L19" s="10">
        <f t="shared" si="0"/>
        <v>14</v>
      </c>
      <c r="M19" s="10" t="str">
        <f t="shared" si="1"/>
        <v>No</v>
      </c>
      <c r="N19" s="10">
        <f t="shared" si="2"/>
        <v>35000</v>
      </c>
      <c r="O19" t="str">
        <f t="shared" si="3"/>
        <v>Senior</v>
      </c>
    </row>
    <row r="20" spans="1:15" x14ac:dyDescent="0.25">
      <c r="A20" s="2" t="s">
        <v>68</v>
      </c>
      <c r="B20" s="2" t="s">
        <v>69</v>
      </c>
      <c r="C20" s="2">
        <v>27</v>
      </c>
      <c r="D20" s="2" t="s">
        <v>27</v>
      </c>
      <c r="E20" s="2" t="s">
        <v>13</v>
      </c>
      <c r="F20" s="3">
        <v>45354</v>
      </c>
      <c r="G20" s="3">
        <v>45664</v>
      </c>
      <c r="H20" s="2">
        <v>800</v>
      </c>
      <c r="I20" s="2">
        <v>26</v>
      </c>
      <c r="J20" s="2" t="s">
        <v>35</v>
      </c>
      <c r="L20" s="10">
        <f t="shared" si="0"/>
        <v>10</v>
      </c>
      <c r="M20" s="10" t="str">
        <f t="shared" si="1"/>
        <v>No</v>
      </c>
      <c r="N20" s="10">
        <f t="shared" si="2"/>
        <v>8000</v>
      </c>
      <c r="O20" t="str">
        <f t="shared" si="3"/>
        <v>Youth</v>
      </c>
    </row>
    <row r="21" spans="1:15" ht="15.75" customHeight="1" x14ac:dyDescent="0.25">
      <c r="A21" s="2" t="s">
        <v>70</v>
      </c>
      <c r="B21" s="2" t="s">
        <v>71</v>
      </c>
      <c r="C21" s="2">
        <v>28</v>
      </c>
      <c r="D21" s="2" t="s">
        <v>12</v>
      </c>
      <c r="E21" s="2" t="s">
        <v>31</v>
      </c>
      <c r="F21" s="3">
        <v>45417</v>
      </c>
      <c r="G21" s="3">
        <v>45608</v>
      </c>
      <c r="H21" s="2">
        <v>2500</v>
      </c>
      <c r="I21" s="2">
        <v>21</v>
      </c>
      <c r="J21" s="2" t="s">
        <v>35</v>
      </c>
      <c r="K21" s="2" t="s">
        <v>72</v>
      </c>
      <c r="L21" s="10">
        <f t="shared" si="0"/>
        <v>6</v>
      </c>
      <c r="M21" s="10" t="str">
        <f t="shared" si="1"/>
        <v>Yes</v>
      </c>
      <c r="N21" s="10">
        <f>H21*L21</f>
        <v>15000</v>
      </c>
      <c r="O21" t="str">
        <f t="shared" si="3"/>
        <v>Youth</v>
      </c>
    </row>
    <row r="22" spans="1:15" ht="15.75" customHeight="1" x14ac:dyDescent="0.25">
      <c r="A22" s="2" t="s">
        <v>73</v>
      </c>
      <c r="B22" s="2" t="s">
        <v>74</v>
      </c>
      <c r="C22" s="2">
        <v>57</v>
      </c>
      <c r="D22" s="2" t="s">
        <v>27</v>
      </c>
      <c r="E22" s="2" t="s">
        <v>41</v>
      </c>
      <c r="F22" s="3">
        <v>45146</v>
      </c>
      <c r="G22" s="3">
        <v>45674</v>
      </c>
      <c r="H22" s="2">
        <v>1800</v>
      </c>
      <c r="I22" s="2">
        <v>19</v>
      </c>
      <c r="J22" s="2" t="s">
        <v>35</v>
      </c>
      <c r="L22" s="10">
        <f t="shared" si="0"/>
        <v>17</v>
      </c>
      <c r="M22" s="10" t="str">
        <f t="shared" si="1"/>
        <v>No</v>
      </c>
      <c r="N22" s="10">
        <f t="shared" si="2"/>
        <v>30600</v>
      </c>
      <c r="O22" t="str">
        <f t="shared" si="3"/>
        <v>Senior</v>
      </c>
    </row>
    <row r="23" spans="1:15" ht="15.75" customHeight="1" x14ac:dyDescent="0.25">
      <c r="A23" s="2" t="s">
        <v>75</v>
      </c>
      <c r="B23" s="2" t="s">
        <v>76</v>
      </c>
      <c r="C23" s="2">
        <v>26</v>
      </c>
      <c r="D23" s="2" t="s">
        <v>27</v>
      </c>
      <c r="E23" s="2" t="s">
        <v>41</v>
      </c>
      <c r="F23" s="3">
        <v>45320</v>
      </c>
      <c r="G23" s="3">
        <v>45616</v>
      </c>
      <c r="H23" s="2">
        <v>1800</v>
      </c>
      <c r="I23" s="2">
        <v>5</v>
      </c>
      <c r="J23" s="2" t="s">
        <v>14</v>
      </c>
      <c r="L23" s="10">
        <f t="shared" si="0"/>
        <v>9</v>
      </c>
      <c r="M23" s="10" t="str">
        <f t="shared" si="1"/>
        <v>No</v>
      </c>
      <c r="N23" s="10">
        <f t="shared" si="2"/>
        <v>16200</v>
      </c>
      <c r="O23" t="str">
        <f t="shared" si="3"/>
        <v>Youth</v>
      </c>
    </row>
    <row r="24" spans="1:15" ht="15.75" customHeight="1" x14ac:dyDescent="0.25">
      <c r="A24" s="2" t="s">
        <v>77</v>
      </c>
      <c r="B24" s="2" t="s">
        <v>78</v>
      </c>
      <c r="C24" s="2">
        <v>48</v>
      </c>
      <c r="D24" s="2" t="s">
        <v>12</v>
      </c>
      <c r="E24" s="2" t="s">
        <v>41</v>
      </c>
      <c r="F24" s="3">
        <v>45451</v>
      </c>
      <c r="G24" s="3">
        <v>45455</v>
      </c>
      <c r="H24" s="2">
        <v>1800</v>
      </c>
      <c r="I24" s="2">
        <v>18</v>
      </c>
      <c r="J24" s="2" t="s">
        <v>67</v>
      </c>
      <c r="L24" s="10">
        <f t="shared" si="0"/>
        <v>0</v>
      </c>
      <c r="M24" s="10" t="str">
        <f t="shared" si="1"/>
        <v>No</v>
      </c>
      <c r="N24" s="10">
        <f t="shared" si="2"/>
        <v>0</v>
      </c>
      <c r="O24" t="str">
        <f>IF(C24&lt;=30,"Youth",IF(C24&lt;=45,"Adult","Senior"))</f>
        <v>Senior</v>
      </c>
    </row>
    <row r="25" spans="1:15" ht="15.75" customHeight="1" x14ac:dyDescent="0.25">
      <c r="A25" s="2" t="s">
        <v>79</v>
      </c>
      <c r="B25" s="2" t="s">
        <v>80</v>
      </c>
      <c r="C25" s="2">
        <v>25</v>
      </c>
      <c r="D25" s="2" t="s">
        <v>27</v>
      </c>
      <c r="E25" s="2" t="s">
        <v>22</v>
      </c>
      <c r="F25" s="3">
        <v>45439</v>
      </c>
      <c r="G25" s="3">
        <v>45730</v>
      </c>
      <c r="H25" s="2">
        <v>1200</v>
      </c>
      <c r="I25" s="2">
        <v>6</v>
      </c>
      <c r="J25" s="2" t="s">
        <v>14</v>
      </c>
      <c r="L25" s="10">
        <f>INT((G25-F25)/30)</f>
        <v>9</v>
      </c>
      <c r="M25" s="10" t="str">
        <f t="shared" si="1"/>
        <v>No</v>
      </c>
      <c r="N25" s="10">
        <f t="shared" si="2"/>
        <v>10800</v>
      </c>
      <c r="O25" t="str">
        <f t="shared" si="3"/>
        <v>Youth</v>
      </c>
    </row>
    <row r="26" spans="1:15" ht="15.75" customHeight="1" x14ac:dyDescent="0.25">
      <c r="A26" s="2" t="s">
        <v>81</v>
      </c>
      <c r="B26" s="2" t="s">
        <v>82</v>
      </c>
      <c r="C26" s="2">
        <v>53</v>
      </c>
      <c r="D26" s="2" t="s">
        <v>12</v>
      </c>
      <c r="E26" s="2" t="s">
        <v>41</v>
      </c>
      <c r="F26" s="3">
        <v>45286</v>
      </c>
      <c r="G26" s="3">
        <v>45372</v>
      </c>
      <c r="H26" s="2">
        <v>1800</v>
      </c>
      <c r="I26" s="2">
        <v>17</v>
      </c>
      <c r="J26" s="2" t="s">
        <v>35</v>
      </c>
      <c r="K26" s="2" t="s">
        <v>83</v>
      </c>
      <c r="L26" s="10">
        <f t="shared" si="0"/>
        <v>2</v>
      </c>
      <c r="M26" s="10" t="str">
        <f t="shared" si="1"/>
        <v>Yes</v>
      </c>
      <c r="N26" s="10">
        <f t="shared" si="2"/>
        <v>3600</v>
      </c>
      <c r="O26" t="str">
        <f t="shared" si="3"/>
        <v>Senior</v>
      </c>
    </row>
    <row r="27" spans="1:15" ht="15.75" customHeight="1" x14ac:dyDescent="0.25">
      <c r="A27" s="2" t="s">
        <v>84</v>
      </c>
      <c r="B27" s="2" t="s">
        <v>85</v>
      </c>
      <c r="C27" s="2">
        <v>42</v>
      </c>
      <c r="D27" s="2" t="s">
        <v>27</v>
      </c>
      <c r="E27" s="2" t="s">
        <v>22</v>
      </c>
      <c r="F27" s="3">
        <v>45702</v>
      </c>
      <c r="G27" s="3">
        <v>45727</v>
      </c>
      <c r="H27" s="2">
        <v>1200</v>
      </c>
      <c r="I27" s="2">
        <v>3</v>
      </c>
      <c r="J27" s="2" t="s">
        <v>67</v>
      </c>
      <c r="L27" s="10">
        <f t="shared" si="0"/>
        <v>0</v>
      </c>
      <c r="M27" s="10" t="str">
        <f t="shared" si="1"/>
        <v>No</v>
      </c>
      <c r="N27" s="10">
        <f t="shared" si="2"/>
        <v>0</v>
      </c>
      <c r="O27" t="str">
        <f t="shared" si="3"/>
        <v>Adult</v>
      </c>
    </row>
    <row r="28" spans="1:15" ht="15.75" customHeight="1" x14ac:dyDescent="0.25">
      <c r="A28" s="2" t="s">
        <v>86</v>
      </c>
      <c r="B28" s="2" t="s">
        <v>87</v>
      </c>
      <c r="C28" s="2">
        <v>24</v>
      </c>
      <c r="D28" s="2" t="s">
        <v>12</v>
      </c>
      <c r="E28" s="2" t="s">
        <v>31</v>
      </c>
      <c r="F28" s="3">
        <v>45698</v>
      </c>
      <c r="G28" s="3">
        <v>45726</v>
      </c>
      <c r="H28" s="2">
        <v>2500</v>
      </c>
      <c r="I28" s="2">
        <v>28</v>
      </c>
      <c r="J28" s="2" t="s">
        <v>35</v>
      </c>
      <c r="L28" s="10">
        <f t="shared" si="0"/>
        <v>0</v>
      </c>
      <c r="M28" s="10" t="str">
        <f t="shared" si="1"/>
        <v>No</v>
      </c>
      <c r="N28" s="10">
        <f t="shared" si="2"/>
        <v>0</v>
      </c>
      <c r="O28" t="str">
        <f t="shared" si="3"/>
        <v>Youth</v>
      </c>
    </row>
    <row r="29" spans="1:15" ht="15.75" customHeight="1" x14ac:dyDescent="0.25">
      <c r="A29" s="2" t="s">
        <v>88</v>
      </c>
      <c r="B29" s="2" t="s">
        <v>89</v>
      </c>
      <c r="C29" s="2">
        <v>53</v>
      </c>
      <c r="D29" s="2" t="s">
        <v>12</v>
      </c>
      <c r="E29" s="2" t="s">
        <v>22</v>
      </c>
      <c r="F29" s="3">
        <v>45614</v>
      </c>
      <c r="G29" s="3">
        <v>45645</v>
      </c>
      <c r="H29" s="2">
        <v>1200</v>
      </c>
      <c r="I29" s="2">
        <v>23</v>
      </c>
      <c r="J29" s="2" t="s">
        <v>18</v>
      </c>
      <c r="L29" s="10">
        <f t="shared" si="0"/>
        <v>1</v>
      </c>
      <c r="M29" s="10" t="str">
        <f t="shared" si="1"/>
        <v>No</v>
      </c>
      <c r="N29" s="10">
        <f t="shared" si="2"/>
        <v>1200</v>
      </c>
      <c r="O29" t="str">
        <f t="shared" si="3"/>
        <v>Senior</v>
      </c>
    </row>
    <row r="30" spans="1:15" ht="15.75" customHeight="1" x14ac:dyDescent="0.25">
      <c r="A30" s="2" t="s">
        <v>90</v>
      </c>
      <c r="B30" s="2" t="s">
        <v>91</v>
      </c>
      <c r="C30" s="2">
        <v>29</v>
      </c>
      <c r="D30" s="2" t="s">
        <v>27</v>
      </c>
      <c r="E30" s="2" t="s">
        <v>31</v>
      </c>
      <c r="F30" s="3">
        <v>45401</v>
      </c>
      <c r="G30" s="3">
        <v>45408</v>
      </c>
      <c r="H30" s="2">
        <v>2500</v>
      </c>
      <c r="I30" s="2">
        <v>8</v>
      </c>
      <c r="J30" s="2" t="s">
        <v>23</v>
      </c>
      <c r="L30" s="10">
        <f t="shared" si="0"/>
        <v>0</v>
      </c>
      <c r="M30" s="10" t="str">
        <f t="shared" si="1"/>
        <v>No</v>
      </c>
      <c r="N30" s="10">
        <f t="shared" si="2"/>
        <v>0</v>
      </c>
      <c r="O30" t="str">
        <f t="shared" si="3"/>
        <v>Youth</v>
      </c>
    </row>
    <row r="31" spans="1:15" ht="15.75" customHeight="1" x14ac:dyDescent="0.25">
      <c r="A31" s="2" t="s">
        <v>92</v>
      </c>
      <c r="B31" s="2" t="s">
        <v>93</v>
      </c>
      <c r="C31" s="2">
        <v>31</v>
      </c>
      <c r="D31" s="2" t="s">
        <v>27</v>
      </c>
      <c r="E31" s="2" t="s">
        <v>31</v>
      </c>
      <c r="F31" s="3">
        <v>45667</v>
      </c>
      <c r="G31" s="3">
        <v>45745</v>
      </c>
      <c r="H31" s="2">
        <v>2500</v>
      </c>
      <c r="I31" s="2">
        <v>23</v>
      </c>
      <c r="J31" s="2" t="s">
        <v>42</v>
      </c>
      <c r="K31" s="2" t="s">
        <v>94</v>
      </c>
      <c r="L31" s="10">
        <f t="shared" si="0"/>
        <v>2</v>
      </c>
      <c r="M31" s="10" t="str">
        <f t="shared" si="1"/>
        <v>Yes</v>
      </c>
      <c r="N31" s="10">
        <f t="shared" si="2"/>
        <v>5000</v>
      </c>
      <c r="O31" t="str">
        <f t="shared" si="3"/>
        <v>Adult</v>
      </c>
    </row>
    <row r="32" spans="1:15" ht="15.75" customHeight="1" x14ac:dyDescent="0.25">
      <c r="A32" s="2" t="s">
        <v>95</v>
      </c>
      <c r="B32" s="2" t="s">
        <v>96</v>
      </c>
      <c r="C32" s="2">
        <v>52</v>
      </c>
      <c r="D32" s="2" t="s">
        <v>27</v>
      </c>
      <c r="E32" s="2" t="s">
        <v>13</v>
      </c>
      <c r="F32" s="3">
        <v>45088</v>
      </c>
      <c r="G32" s="3">
        <v>45656</v>
      </c>
      <c r="H32" s="2">
        <v>800</v>
      </c>
      <c r="I32" s="2">
        <v>9</v>
      </c>
      <c r="J32" s="2" t="s">
        <v>67</v>
      </c>
      <c r="K32" s="2" t="s">
        <v>97</v>
      </c>
      <c r="L32" s="10">
        <f t="shared" si="0"/>
        <v>18</v>
      </c>
      <c r="M32" s="10" t="str">
        <f t="shared" si="1"/>
        <v>Yes</v>
      </c>
      <c r="N32" s="10">
        <f t="shared" si="2"/>
        <v>14400</v>
      </c>
      <c r="O32" t="str">
        <f t="shared" si="3"/>
        <v>Senior</v>
      </c>
    </row>
    <row r="33" spans="1:15" ht="15.75" customHeight="1" x14ac:dyDescent="0.25">
      <c r="A33" s="2" t="s">
        <v>98</v>
      </c>
      <c r="B33" s="2" t="s">
        <v>99</v>
      </c>
      <c r="C33" s="2">
        <v>20</v>
      </c>
      <c r="D33" s="2" t="s">
        <v>12</v>
      </c>
      <c r="E33" s="2" t="s">
        <v>22</v>
      </c>
      <c r="F33" s="3">
        <v>45391</v>
      </c>
      <c r="G33" s="3">
        <v>45604</v>
      </c>
      <c r="H33" s="2">
        <v>1200</v>
      </c>
      <c r="I33" s="2">
        <v>2</v>
      </c>
      <c r="J33" s="2" t="s">
        <v>35</v>
      </c>
      <c r="L33" s="10">
        <f t="shared" si="0"/>
        <v>7</v>
      </c>
      <c r="M33" s="10" t="str">
        <f t="shared" si="1"/>
        <v>No</v>
      </c>
      <c r="N33" s="10">
        <f t="shared" si="2"/>
        <v>8400</v>
      </c>
      <c r="O33" t="str">
        <f t="shared" si="3"/>
        <v>Youth</v>
      </c>
    </row>
    <row r="34" spans="1:15" ht="15.75" customHeight="1" x14ac:dyDescent="0.25">
      <c r="A34" s="2" t="s">
        <v>100</v>
      </c>
      <c r="B34" s="2" t="s">
        <v>101</v>
      </c>
      <c r="C34" s="2">
        <v>22</v>
      </c>
      <c r="D34" s="2" t="s">
        <v>12</v>
      </c>
      <c r="E34" s="2" t="s">
        <v>13</v>
      </c>
      <c r="F34" s="3">
        <v>45699</v>
      </c>
      <c r="G34" s="3">
        <v>45740</v>
      </c>
      <c r="H34" s="2">
        <v>800</v>
      </c>
      <c r="I34" s="2">
        <v>30</v>
      </c>
      <c r="J34" s="2" t="s">
        <v>35</v>
      </c>
      <c r="L34" s="10">
        <f t="shared" si="0"/>
        <v>1</v>
      </c>
      <c r="M34" s="10" t="str">
        <f t="shared" si="1"/>
        <v>No</v>
      </c>
      <c r="N34" s="10">
        <f t="shared" si="2"/>
        <v>800</v>
      </c>
      <c r="O34" t="str">
        <f t="shared" si="3"/>
        <v>Youth</v>
      </c>
    </row>
    <row r="35" spans="1:15" ht="15.75" customHeight="1" x14ac:dyDescent="0.25">
      <c r="A35" s="2" t="s">
        <v>102</v>
      </c>
      <c r="B35" s="2" t="s">
        <v>103</v>
      </c>
      <c r="C35" s="2">
        <v>23</v>
      </c>
      <c r="D35" s="2" t="s">
        <v>12</v>
      </c>
      <c r="E35" s="2" t="s">
        <v>41</v>
      </c>
      <c r="F35" s="3">
        <v>45588</v>
      </c>
      <c r="G35" s="3">
        <v>45721</v>
      </c>
      <c r="H35" s="2">
        <v>1800</v>
      </c>
      <c r="I35" s="2">
        <v>23</v>
      </c>
      <c r="J35" s="2" t="s">
        <v>18</v>
      </c>
      <c r="K35" s="2" t="s">
        <v>104</v>
      </c>
      <c r="L35" s="10">
        <f t="shared" si="0"/>
        <v>4</v>
      </c>
      <c r="M35" s="10" t="str">
        <f t="shared" si="1"/>
        <v>Yes</v>
      </c>
      <c r="N35" s="10">
        <f t="shared" si="2"/>
        <v>7200</v>
      </c>
      <c r="O35" t="str">
        <f t="shared" si="3"/>
        <v>Youth</v>
      </c>
    </row>
    <row r="36" spans="1:15" ht="15.75" customHeight="1" x14ac:dyDescent="0.25">
      <c r="A36" s="2" t="s">
        <v>105</v>
      </c>
      <c r="B36" s="2" t="s">
        <v>106</v>
      </c>
      <c r="C36" s="2">
        <v>27</v>
      </c>
      <c r="D36" s="2" t="s">
        <v>27</v>
      </c>
      <c r="E36" s="2" t="s">
        <v>22</v>
      </c>
      <c r="F36" s="3">
        <v>45312</v>
      </c>
      <c r="G36" s="3">
        <v>45652</v>
      </c>
      <c r="H36" s="2">
        <v>1200</v>
      </c>
      <c r="I36" s="2">
        <v>27</v>
      </c>
      <c r="J36" s="2" t="s">
        <v>18</v>
      </c>
      <c r="L36" s="10">
        <f t="shared" si="0"/>
        <v>11</v>
      </c>
      <c r="M36" s="10" t="str">
        <f t="shared" si="1"/>
        <v>No</v>
      </c>
      <c r="N36" s="10">
        <f t="shared" si="2"/>
        <v>13200</v>
      </c>
      <c r="O36" t="str">
        <f t="shared" si="3"/>
        <v>Youth</v>
      </c>
    </row>
    <row r="37" spans="1:15" ht="15.75" customHeight="1" x14ac:dyDescent="0.25"/>
    <row r="38" spans="1:15" ht="15.75" customHeight="1" x14ac:dyDescent="0.25"/>
    <row r="39" spans="1:15" ht="15.75" customHeight="1" x14ac:dyDescent="0.25"/>
    <row r="40" spans="1:15" ht="15.75" customHeight="1" x14ac:dyDescent="0.25"/>
    <row r="41" spans="1:15" ht="15.75" customHeight="1" x14ac:dyDescent="0.25"/>
    <row r="42" spans="1:15" ht="15.75" customHeight="1" x14ac:dyDescent="0.25"/>
    <row r="43" spans="1:15" ht="15.75" customHeight="1" x14ac:dyDescent="0.25"/>
    <row r="44" spans="1:15" ht="15.75" customHeight="1" x14ac:dyDescent="0.25"/>
    <row r="45" spans="1:15" ht="15.75" customHeight="1" x14ac:dyDescent="0.25"/>
    <row r="46" spans="1:15" ht="15.75" customHeight="1" x14ac:dyDescent="0.25"/>
    <row r="47" spans="1:15" ht="15.75" customHeight="1" x14ac:dyDescent="0.25"/>
    <row r="48" spans="1: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1:N36">
    <cfRule type="expression" dxfId="1" priority="1">
      <formula>AND($L$2&gt;=12, $I$2&lt;10)</formula>
    </cfRule>
    <cfRule type="expression" dxfId="0" priority="3">
      <formula>AND($L$2&gt;=12,$I$2&lt;10)</formula>
    </cfRule>
  </conditionalFormatting>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7" sqref="D7"/>
    </sheetView>
  </sheetViews>
  <sheetFormatPr defaultRowHeight="15" x14ac:dyDescent="0.25"/>
  <cols>
    <col min="1" max="1" width="13.140625" bestFit="1" customWidth="1"/>
    <col min="2" max="2" width="19.7109375" bestFit="1" customWidth="1"/>
    <col min="4" max="4" width="55.5703125" customWidth="1"/>
  </cols>
  <sheetData>
    <row r="1" spans="1:4" x14ac:dyDescent="0.25">
      <c r="D1" s="4" t="s">
        <v>115</v>
      </c>
    </row>
    <row r="2" spans="1:4" x14ac:dyDescent="0.25">
      <c r="D2" s="4"/>
    </row>
    <row r="3" spans="1:4" x14ac:dyDescent="0.25">
      <c r="A3" s="6" t="s">
        <v>110</v>
      </c>
      <c r="B3" t="s">
        <v>114</v>
      </c>
      <c r="D3" s="4"/>
    </row>
    <row r="4" spans="1:4" x14ac:dyDescent="0.25">
      <c r="A4" s="7" t="s">
        <v>111</v>
      </c>
      <c r="B4" s="8">
        <v>30600</v>
      </c>
    </row>
    <row r="5" spans="1:4" x14ac:dyDescent="0.25">
      <c r="A5" s="7" t="s">
        <v>112</v>
      </c>
      <c r="B5" s="8">
        <v>21100</v>
      </c>
    </row>
    <row r="6" spans="1:4" x14ac:dyDescent="0.25">
      <c r="A6" s="7" t="s">
        <v>113</v>
      </c>
      <c r="B6" s="8">
        <v>51700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6" sqref="E6"/>
    </sheetView>
  </sheetViews>
  <sheetFormatPr defaultRowHeight="15" x14ac:dyDescent="0.25"/>
  <cols>
    <col min="1" max="1" width="13.140625" bestFit="1" customWidth="1"/>
    <col min="2" max="2" width="21.140625" bestFit="1" customWidth="1"/>
    <col min="5" max="5" width="53" customWidth="1"/>
  </cols>
  <sheetData>
    <row r="1" spans="1:5" x14ac:dyDescent="0.25">
      <c r="E1" s="4" t="s">
        <v>117</v>
      </c>
    </row>
    <row r="3" spans="1:5" x14ac:dyDescent="0.25">
      <c r="A3" s="6" t="s">
        <v>110</v>
      </c>
      <c r="B3" s="11" t="s">
        <v>116</v>
      </c>
    </row>
    <row r="4" spans="1:5" x14ac:dyDescent="0.25">
      <c r="A4" s="7" t="s">
        <v>13</v>
      </c>
      <c r="B4" s="12">
        <v>36000</v>
      </c>
    </row>
    <row r="5" spans="1:5" x14ac:dyDescent="0.25">
      <c r="A5" s="7" t="s">
        <v>31</v>
      </c>
      <c r="B5" s="12">
        <v>75000</v>
      </c>
    </row>
    <row r="6" spans="1:5" x14ac:dyDescent="0.25">
      <c r="A6" s="7" t="s">
        <v>41</v>
      </c>
      <c r="B6" s="12">
        <v>66600</v>
      </c>
    </row>
    <row r="7" spans="1:5" x14ac:dyDescent="0.25">
      <c r="A7" s="7" t="s">
        <v>22</v>
      </c>
      <c r="B7" s="12">
        <v>87600</v>
      </c>
    </row>
    <row r="8" spans="1:5" x14ac:dyDescent="0.25">
      <c r="A8" s="7" t="s">
        <v>113</v>
      </c>
      <c r="B8" s="12">
        <v>265200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election activeCell="E8" sqref="E8"/>
    </sheetView>
  </sheetViews>
  <sheetFormatPr defaultRowHeight="15" x14ac:dyDescent="0.25"/>
  <cols>
    <col min="1" max="1" width="13.140625" bestFit="1" customWidth="1"/>
    <col min="2" max="2" width="21.140625" bestFit="1" customWidth="1"/>
    <col min="5" max="5" width="51.5703125" customWidth="1"/>
  </cols>
  <sheetData>
    <row r="1" spans="1:5" x14ac:dyDescent="0.25">
      <c r="E1" s="4" t="s">
        <v>118</v>
      </c>
    </row>
    <row r="3" spans="1:5" x14ac:dyDescent="0.25">
      <c r="A3" s="6" t="s">
        <v>110</v>
      </c>
      <c r="B3" t="s">
        <v>116</v>
      </c>
    </row>
    <row r="4" spans="1:5" x14ac:dyDescent="0.25">
      <c r="A4" s="7" t="s">
        <v>14</v>
      </c>
      <c r="B4" s="12">
        <v>55300</v>
      </c>
    </row>
    <row r="5" spans="1:5" x14ac:dyDescent="0.25">
      <c r="A5" s="7" t="s">
        <v>67</v>
      </c>
      <c r="B5" s="12">
        <v>49400</v>
      </c>
    </row>
    <row r="6" spans="1:5" x14ac:dyDescent="0.25">
      <c r="A6" s="7" t="s">
        <v>23</v>
      </c>
      <c r="B6" s="12">
        <v>28800</v>
      </c>
    </row>
    <row r="7" spans="1:5" x14ac:dyDescent="0.25">
      <c r="A7" s="7" t="s">
        <v>42</v>
      </c>
      <c r="B7" s="12">
        <v>32100</v>
      </c>
    </row>
    <row r="8" spans="1:5" x14ac:dyDescent="0.25">
      <c r="A8" s="7" t="s">
        <v>35</v>
      </c>
      <c r="B8" s="12">
        <v>76400</v>
      </c>
    </row>
    <row r="9" spans="1:5" x14ac:dyDescent="0.25">
      <c r="A9" s="7" t="s">
        <v>18</v>
      </c>
      <c r="B9" s="12">
        <v>23200</v>
      </c>
    </row>
    <row r="10" spans="1:5" x14ac:dyDescent="0.25">
      <c r="A10" s="7" t="s">
        <v>113</v>
      </c>
      <c r="B10" s="12">
        <v>265200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F8" sqref="F8"/>
    </sheetView>
  </sheetViews>
  <sheetFormatPr defaultRowHeight="15" x14ac:dyDescent="0.25"/>
  <cols>
    <col min="1" max="1" width="13.140625" customWidth="1"/>
    <col min="2" max="2" width="21.140625" customWidth="1"/>
    <col min="6" max="6" width="38.140625" customWidth="1"/>
  </cols>
  <sheetData>
    <row r="1" spans="1:6" x14ac:dyDescent="0.25">
      <c r="F1" s="4" t="s">
        <v>120</v>
      </c>
    </row>
    <row r="3" spans="1:6" x14ac:dyDescent="0.25">
      <c r="A3" s="6" t="s">
        <v>110</v>
      </c>
      <c r="B3" t="s">
        <v>116</v>
      </c>
    </row>
    <row r="4" spans="1:6" x14ac:dyDescent="0.25">
      <c r="A4" s="7" t="s">
        <v>13</v>
      </c>
      <c r="B4" s="12">
        <v>36000</v>
      </c>
    </row>
    <row r="5" spans="1:6" x14ac:dyDescent="0.25">
      <c r="A5" s="7" t="s">
        <v>31</v>
      </c>
      <c r="B5" s="12">
        <v>75000</v>
      </c>
    </row>
    <row r="6" spans="1:6" x14ac:dyDescent="0.25">
      <c r="A6" s="7" t="s">
        <v>41</v>
      </c>
      <c r="B6" s="12">
        <v>66600</v>
      </c>
    </row>
    <row r="7" spans="1:6" x14ac:dyDescent="0.25">
      <c r="A7" s="7" t="s">
        <v>22</v>
      </c>
      <c r="B7" s="12">
        <v>87600</v>
      </c>
    </row>
    <row r="8" spans="1:6" x14ac:dyDescent="0.25">
      <c r="A8" s="7" t="s">
        <v>113</v>
      </c>
      <c r="B8" s="12">
        <v>265200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C21" sqref="C21"/>
    </sheetView>
  </sheetViews>
  <sheetFormatPr defaultRowHeight="15" x14ac:dyDescent="0.25"/>
  <cols>
    <col min="1" max="1" width="21.140625" bestFit="1" customWidth="1"/>
    <col min="2" max="2" width="16.28515625" bestFit="1" customWidth="1"/>
    <col min="3" max="3" width="6.85546875" customWidth="1"/>
    <col min="5" max="5" width="8.85546875" customWidth="1"/>
    <col min="6" max="6" width="11.28515625" bestFit="1" customWidth="1"/>
    <col min="9" max="9" width="11.42578125" customWidth="1"/>
  </cols>
  <sheetData>
    <row r="1" spans="1:7" x14ac:dyDescent="0.25">
      <c r="A1" s="6" t="s">
        <v>108</v>
      </c>
      <c r="B1" t="s">
        <v>119</v>
      </c>
    </row>
    <row r="3" spans="1:7" x14ac:dyDescent="0.25">
      <c r="A3" s="6" t="s">
        <v>116</v>
      </c>
      <c r="B3" s="6" t="s">
        <v>121</v>
      </c>
    </row>
    <row r="4" spans="1:7" x14ac:dyDescent="0.25">
      <c r="A4" s="6" t="s">
        <v>110</v>
      </c>
      <c r="B4" t="s">
        <v>13</v>
      </c>
      <c r="C4" t="s">
        <v>31</v>
      </c>
      <c r="D4" t="s">
        <v>41</v>
      </c>
      <c r="E4" t="s">
        <v>22</v>
      </c>
      <c r="F4" t="s">
        <v>113</v>
      </c>
    </row>
    <row r="5" spans="1:7" x14ac:dyDescent="0.25">
      <c r="A5" s="7" t="s">
        <v>14</v>
      </c>
      <c r="B5" s="8">
        <v>4800</v>
      </c>
      <c r="C5" s="8">
        <v>17500</v>
      </c>
      <c r="D5" s="8">
        <v>16200</v>
      </c>
      <c r="E5" s="8">
        <v>16800</v>
      </c>
      <c r="F5" s="8">
        <v>55300</v>
      </c>
    </row>
    <row r="6" spans="1:7" x14ac:dyDescent="0.25">
      <c r="A6" s="7" t="s">
        <v>67</v>
      </c>
      <c r="B6" s="8">
        <v>14400</v>
      </c>
      <c r="C6" s="8">
        <v>35000</v>
      </c>
      <c r="D6" s="8">
        <v>0</v>
      </c>
      <c r="E6" s="8">
        <v>0</v>
      </c>
      <c r="F6" s="8">
        <v>49400</v>
      </c>
    </row>
    <row r="7" spans="1:7" x14ac:dyDescent="0.25">
      <c r="A7" s="7" t="s">
        <v>23</v>
      </c>
      <c r="B7" s="8">
        <v>4800</v>
      </c>
      <c r="C7" s="8">
        <v>0</v>
      </c>
      <c r="D7" s="8"/>
      <c r="E7" s="8">
        <v>24000</v>
      </c>
      <c r="F7" s="8">
        <v>28800</v>
      </c>
    </row>
    <row r="8" spans="1:7" x14ac:dyDescent="0.25">
      <c r="A8" s="7" t="s">
        <v>42</v>
      </c>
      <c r="B8" s="8">
        <v>0</v>
      </c>
      <c r="C8" s="8">
        <v>7500</v>
      </c>
      <c r="D8" s="8">
        <v>9000</v>
      </c>
      <c r="E8" s="8">
        <v>15600</v>
      </c>
      <c r="F8" s="8">
        <v>32100</v>
      </c>
    </row>
    <row r="9" spans="1:7" x14ac:dyDescent="0.25">
      <c r="A9" s="7" t="s">
        <v>35</v>
      </c>
      <c r="B9" s="8">
        <v>10400</v>
      </c>
      <c r="C9" s="8">
        <v>15000</v>
      </c>
      <c r="D9" s="8">
        <v>34200</v>
      </c>
      <c r="E9" s="8">
        <v>16800</v>
      </c>
      <c r="F9" s="8">
        <v>76400</v>
      </c>
    </row>
    <row r="10" spans="1:7" x14ac:dyDescent="0.25">
      <c r="A10" s="7" t="s">
        <v>18</v>
      </c>
      <c r="B10" s="8">
        <v>1600</v>
      </c>
      <c r="C10" s="8"/>
      <c r="D10" s="8">
        <v>7200</v>
      </c>
      <c r="E10" s="8">
        <v>14400</v>
      </c>
      <c r="F10" s="8">
        <v>23200</v>
      </c>
    </row>
    <row r="11" spans="1:7" x14ac:dyDescent="0.25">
      <c r="A11" s="7" t="s">
        <v>113</v>
      </c>
      <c r="B11" s="8">
        <v>36000</v>
      </c>
      <c r="C11" s="8">
        <v>75000</v>
      </c>
      <c r="D11" s="8">
        <v>66600</v>
      </c>
      <c r="E11" s="8">
        <v>87600</v>
      </c>
      <c r="F11" s="8">
        <v>265200</v>
      </c>
    </row>
    <row r="15" spans="1:7" ht="28.5" x14ac:dyDescent="0.45">
      <c r="B15" s="15" t="s">
        <v>122</v>
      </c>
      <c r="C15" s="14"/>
      <c r="D15" s="14"/>
      <c r="E15" s="14"/>
      <c r="F15" s="14"/>
      <c r="G15" s="1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1"/>
  <sheetViews>
    <sheetView workbookViewId="0">
      <selection activeCell="E8" sqref="E8"/>
    </sheetView>
  </sheetViews>
  <sheetFormatPr defaultRowHeight="15" x14ac:dyDescent="0.25"/>
  <cols>
    <col min="1" max="1" width="23.7109375" bestFit="1" customWidth="1"/>
    <col min="2" max="2" width="16.28515625" bestFit="1" customWidth="1"/>
    <col min="3" max="3" width="5.5703125" customWidth="1"/>
    <col min="4" max="4" width="11.28515625" bestFit="1" customWidth="1"/>
  </cols>
  <sheetData>
    <row r="3" spans="1:11" x14ac:dyDescent="0.25">
      <c r="A3" s="6" t="s">
        <v>125</v>
      </c>
      <c r="B3" s="6" t="s">
        <v>121</v>
      </c>
    </row>
    <row r="4" spans="1:11" ht="26.25" x14ac:dyDescent="0.4">
      <c r="A4" s="6" t="s">
        <v>110</v>
      </c>
      <c r="B4" t="s">
        <v>27</v>
      </c>
      <c r="C4" t="s">
        <v>12</v>
      </c>
      <c r="D4" t="s">
        <v>113</v>
      </c>
      <c r="G4" s="16" t="s">
        <v>126</v>
      </c>
      <c r="H4" s="13"/>
      <c r="I4" s="13"/>
      <c r="J4" s="13"/>
      <c r="K4" s="13"/>
    </row>
    <row r="5" spans="1:11" x14ac:dyDescent="0.25">
      <c r="A5" s="7" t="s">
        <v>14</v>
      </c>
      <c r="B5" s="8">
        <v>3</v>
      </c>
      <c r="C5" s="8">
        <v>2</v>
      </c>
      <c r="D5" s="8">
        <v>5</v>
      </c>
    </row>
    <row r="6" spans="1:11" x14ac:dyDescent="0.25">
      <c r="A6" s="7" t="s">
        <v>67</v>
      </c>
      <c r="B6" s="8">
        <v>3</v>
      </c>
      <c r="C6" s="8">
        <v>1</v>
      </c>
      <c r="D6" s="8">
        <v>4</v>
      </c>
    </row>
    <row r="7" spans="1:11" x14ac:dyDescent="0.25">
      <c r="A7" s="7" t="s">
        <v>23</v>
      </c>
      <c r="B7" s="8">
        <v>3</v>
      </c>
      <c r="C7" s="8">
        <v>2</v>
      </c>
      <c r="D7" s="8">
        <v>5</v>
      </c>
    </row>
    <row r="8" spans="1:11" x14ac:dyDescent="0.25">
      <c r="A8" s="7" t="s">
        <v>42</v>
      </c>
      <c r="B8" s="8">
        <v>2</v>
      </c>
      <c r="C8" s="8">
        <v>4</v>
      </c>
      <c r="D8" s="8">
        <v>6</v>
      </c>
    </row>
    <row r="9" spans="1:11" x14ac:dyDescent="0.25">
      <c r="A9" s="7" t="s">
        <v>35</v>
      </c>
      <c r="B9" s="8">
        <v>2</v>
      </c>
      <c r="C9" s="8">
        <v>8</v>
      </c>
      <c r="D9" s="8">
        <v>10</v>
      </c>
    </row>
    <row r="10" spans="1:11" x14ac:dyDescent="0.25">
      <c r="A10" s="7" t="s">
        <v>18</v>
      </c>
      <c r="B10" s="8">
        <v>2</v>
      </c>
      <c r="C10" s="8">
        <v>3</v>
      </c>
      <c r="D10" s="8">
        <v>5</v>
      </c>
    </row>
    <row r="11" spans="1:11" x14ac:dyDescent="0.25">
      <c r="A11" s="7" t="s">
        <v>113</v>
      </c>
      <c r="B11" s="8">
        <v>15</v>
      </c>
      <c r="C11" s="8">
        <v>20</v>
      </c>
      <c r="D11" s="8">
        <v>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9"/>
  <sheetViews>
    <sheetView workbookViewId="0">
      <selection activeCell="A23" sqref="A23"/>
    </sheetView>
  </sheetViews>
  <sheetFormatPr defaultRowHeight="15" x14ac:dyDescent="0.25"/>
  <cols>
    <col min="1" max="1" width="23.7109375" bestFit="1" customWidth="1"/>
    <col min="2" max="2" width="16.28515625" bestFit="1" customWidth="1"/>
    <col min="3" max="3" width="6.7109375" customWidth="1"/>
    <col min="4" max="4" width="6.28515625" customWidth="1"/>
    <col min="5" max="5" width="11.28515625" bestFit="1" customWidth="1"/>
  </cols>
  <sheetData>
    <row r="3" spans="1:16" x14ac:dyDescent="0.25">
      <c r="A3" s="6" t="s">
        <v>125</v>
      </c>
      <c r="B3" s="6" t="s">
        <v>121</v>
      </c>
    </row>
    <row r="4" spans="1:16" ht="26.25" x14ac:dyDescent="0.4">
      <c r="A4" s="6" t="s">
        <v>110</v>
      </c>
      <c r="B4" t="s">
        <v>127</v>
      </c>
      <c r="C4" t="s">
        <v>128</v>
      </c>
      <c r="D4" t="s">
        <v>129</v>
      </c>
      <c r="E4" t="s">
        <v>113</v>
      </c>
      <c r="I4" s="16" t="s">
        <v>130</v>
      </c>
      <c r="J4" s="13"/>
      <c r="K4" s="13"/>
      <c r="L4" s="13"/>
      <c r="M4" s="13"/>
      <c r="N4" s="13"/>
      <c r="O4" s="13"/>
      <c r="P4" s="13"/>
    </row>
    <row r="5" spans="1:16" x14ac:dyDescent="0.25">
      <c r="A5" s="7" t="s">
        <v>13</v>
      </c>
      <c r="B5" s="8">
        <v>4</v>
      </c>
      <c r="C5" s="8">
        <v>2</v>
      </c>
      <c r="D5" s="8">
        <v>3</v>
      </c>
      <c r="E5" s="8">
        <v>9</v>
      </c>
    </row>
    <row r="6" spans="1:16" x14ac:dyDescent="0.25">
      <c r="A6" s="7" t="s">
        <v>31</v>
      </c>
      <c r="B6" s="8">
        <v>2</v>
      </c>
      <c r="C6" s="8">
        <v>1</v>
      </c>
      <c r="D6" s="8">
        <v>4</v>
      </c>
      <c r="E6" s="8">
        <v>7</v>
      </c>
    </row>
    <row r="7" spans="1:16" x14ac:dyDescent="0.25">
      <c r="A7" s="7" t="s">
        <v>41</v>
      </c>
      <c r="B7" s="8">
        <v>1</v>
      </c>
      <c r="C7" s="8">
        <v>4</v>
      </c>
      <c r="D7" s="8">
        <v>2</v>
      </c>
      <c r="E7" s="8">
        <v>7</v>
      </c>
    </row>
    <row r="8" spans="1:16" x14ac:dyDescent="0.25">
      <c r="A8" s="7" t="s">
        <v>22</v>
      </c>
      <c r="B8" s="8">
        <v>6</v>
      </c>
      <c r="C8" s="8">
        <v>2</v>
      </c>
      <c r="D8" s="8">
        <v>4</v>
      </c>
      <c r="E8" s="8">
        <v>12</v>
      </c>
    </row>
    <row r="9" spans="1:16" x14ac:dyDescent="0.25">
      <c r="A9" s="7" t="s">
        <v>113</v>
      </c>
      <c r="B9" s="8">
        <v>13</v>
      </c>
      <c r="C9" s="8">
        <v>9</v>
      </c>
      <c r="D9" s="8">
        <v>13</v>
      </c>
      <c r="E9" s="8">
        <v>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Sheet8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new</cp:lastModifiedBy>
  <dcterms:created xsi:type="dcterms:W3CDTF">2025-04-06T20:54:03Z</dcterms:created>
  <dcterms:modified xsi:type="dcterms:W3CDTF">2025-11-08T08:41:14Z</dcterms:modified>
</cp:coreProperties>
</file>